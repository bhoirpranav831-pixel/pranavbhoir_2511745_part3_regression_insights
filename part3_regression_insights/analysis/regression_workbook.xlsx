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APSTONE_PROJECT\part3_regression_insights\analysis\"/>
    </mc:Choice>
  </mc:AlternateContent>
  <xr:revisionPtr revIDLastSave="0" documentId="13_ncr:1_{EEE60122-00BB-435D-A9D4-06A0ABFF817F}" xr6:coauthVersionLast="47" xr6:coauthVersionMax="47" xr10:uidLastSave="{00000000-0000-0000-0000-000000000000}"/>
  <bookViews>
    <workbookView xWindow="12720" yWindow="780" windowWidth="15975" windowHeight="12825" firstSheet="6" activeTab="6" xr2:uid="{00000000-000D-0000-FFFF-FFFF00000000}"/>
  </bookViews>
  <sheets>
    <sheet name="store_performance" sheetId="1" r:id="rId1"/>
    <sheet name="data_dictionary" sheetId="2" r:id="rId2"/>
    <sheet name="cleaned data" sheetId="3" r:id="rId3"/>
    <sheet name="simple regresion 1" sheetId="6" r:id="rId4"/>
    <sheet name="simple regresion 2" sheetId="7" r:id="rId5"/>
    <sheet name="multiple regresion" sheetId="8" r:id="rId6"/>
    <sheet name="predition sheet" sheetId="9" r:id="rId7"/>
    <sheet name="model comparison sheet" sheetId="10" r:id="rId8"/>
    <sheet name="dummy variable 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9" l="1"/>
  <c r="N12" i="9"/>
  <c r="N11" i="9"/>
  <c r="N10" i="9"/>
  <c r="N9" i="9"/>
  <c r="H12" i="9"/>
  <c r="H11" i="9"/>
  <c r="H10" i="9"/>
  <c r="H9" i="9"/>
  <c r="H8" i="9"/>
  <c r="X2" i="3"/>
  <c r="W2" i="3"/>
  <c r="S2" i="3"/>
  <c r="T2" i="3"/>
  <c r="U2" i="3"/>
  <c r="S3" i="3"/>
  <c r="T3" i="3"/>
  <c r="U3" i="3"/>
  <c r="S4" i="3"/>
  <c r="T4" i="3"/>
  <c r="U4" i="3"/>
  <c r="S5" i="3"/>
  <c r="T5" i="3"/>
  <c r="U5" i="3"/>
  <c r="S6" i="3"/>
  <c r="T6" i="3"/>
  <c r="U6" i="3"/>
  <c r="S7" i="3"/>
  <c r="T7" i="3"/>
  <c r="U7" i="3"/>
  <c r="S8" i="3"/>
  <c r="T8" i="3"/>
  <c r="U8" i="3"/>
  <c r="S9" i="3"/>
  <c r="T9" i="3"/>
  <c r="U9" i="3"/>
  <c r="S10" i="3"/>
  <c r="T10" i="3"/>
  <c r="U10" i="3"/>
  <c r="S11" i="3"/>
  <c r="T11" i="3"/>
  <c r="U11" i="3"/>
  <c r="S12" i="3"/>
  <c r="T12" i="3"/>
  <c r="U12" i="3"/>
  <c r="S13" i="3"/>
  <c r="T13" i="3"/>
  <c r="U13" i="3"/>
  <c r="S14" i="3"/>
  <c r="T14" i="3"/>
  <c r="U14" i="3"/>
  <c r="S15" i="3"/>
  <c r="T15" i="3"/>
  <c r="U15" i="3"/>
  <c r="S16" i="3"/>
  <c r="T16" i="3"/>
  <c r="U16" i="3"/>
  <c r="S17" i="3"/>
  <c r="T17" i="3"/>
  <c r="U17" i="3"/>
  <c r="S18" i="3"/>
  <c r="T18" i="3"/>
  <c r="U18" i="3"/>
  <c r="S19" i="3"/>
  <c r="T19" i="3"/>
  <c r="U19" i="3"/>
  <c r="S20" i="3"/>
  <c r="T20" i="3"/>
  <c r="U20" i="3"/>
  <c r="S21" i="3"/>
  <c r="T21" i="3"/>
  <c r="U21" i="3"/>
  <c r="S22" i="3"/>
  <c r="T22" i="3"/>
  <c r="U22" i="3"/>
  <c r="S23" i="3"/>
  <c r="T23" i="3"/>
  <c r="U23" i="3"/>
  <c r="S24" i="3"/>
  <c r="T24" i="3"/>
  <c r="U24" i="3"/>
  <c r="S25" i="3"/>
  <c r="T25" i="3"/>
  <c r="U25" i="3"/>
  <c r="S26" i="3"/>
  <c r="T26" i="3"/>
  <c r="U26" i="3"/>
  <c r="S27" i="3"/>
  <c r="T27" i="3"/>
  <c r="U27" i="3"/>
  <c r="S28" i="3"/>
  <c r="T28" i="3"/>
  <c r="U28" i="3"/>
  <c r="S29" i="3"/>
  <c r="T29" i="3"/>
  <c r="U29" i="3"/>
  <c r="S30" i="3"/>
  <c r="T30" i="3"/>
  <c r="U30" i="3"/>
  <c r="S31" i="3"/>
  <c r="T31" i="3"/>
  <c r="U31" i="3"/>
  <c r="S32" i="3"/>
  <c r="T32" i="3"/>
  <c r="U32" i="3"/>
  <c r="S33" i="3"/>
  <c r="T33" i="3"/>
  <c r="U33" i="3"/>
  <c r="S34" i="3"/>
  <c r="T34" i="3"/>
  <c r="U34" i="3"/>
  <c r="S35" i="3"/>
  <c r="T35" i="3"/>
  <c r="U35" i="3"/>
  <c r="S36" i="3"/>
  <c r="T36" i="3"/>
  <c r="U36" i="3"/>
  <c r="S37" i="3"/>
  <c r="T37" i="3"/>
  <c r="U37" i="3"/>
  <c r="S38" i="3"/>
  <c r="T38" i="3"/>
  <c r="U38" i="3"/>
  <c r="S39" i="3"/>
  <c r="T39" i="3"/>
  <c r="U39" i="3"/>
  <c r="S40" i="3"/>
  <c r="T40" i="3"/>
  <c r="U40" i="3"/>
  <c r="S41" i="3"/>
  <c r="T41" i="3"/>
  <c r="U41" i="3"/>
  <c r="S42" i="3"/>
  <c r="T42" i="3"/>
  <c r="U42" i="3"/>
  <c r="S43" i="3"/>
  <c r="T43" i="3"/>
  <c r="U43" i="3"/>
  <c r="S44" i="3"/>
  <c r="T44" i="3"/>
  <c r="U44" i="3"/>
  <c r="S45" i="3"/>
  <c r="T45" i="3"/>
  <c r="U45" i="3"/>
  <c r="S46" i="3"/>
  <c r="T46" i="3"/>
  <c r="U46" i="3"/>
  <c r="S47" i="3"/>
  <c r="T47" i="3"/>
  <c r="U47" i="3"/>
  <c r="S48" i="3"/>
  <c r="T48" i="3"/>
  <c r="U48" i="3"/>
  <c r="S49" i="3"/>
  <c r="T49" i="3"/>
  <c r="U49" i="3"/>
  <c r="S50" i="3"/>
  <c r="T50" i="3"/>
  <c r="U50" i="3"/>
  <c r="S51" i="3"/>
  <c r="T51" i="3"/>
  <c r="U51" i="3"/>
  <c r="S52" i="3"/>
  <c r="T52" i="3"/>
  <c r="U52" i="3"/>
  <c r="S53" i="3"/>
  <c r="T53" i="3"/>
  <c r="U53" i="3"/>
  <c r="S54" i="3"/>
  <c r="T54" i="3"/>
  <c r="U54" i="3"/>
  <c r="S55" i="3"/>
  <c r="T55" i="3"/>
  <c r="U55" i="3"/>
  <c r="S56" i="3"/>
  <c r="T56" i="3"/>
  <c r="U56" i="3"/>
  <c r="S57" i="3"/>
  <c r="T57" i="3"/>
  <c r="U57" i="3"/>
  <c r="S58" i="3"/>
  <c r="T58" i="3"/>
  <c r="U58" i="3"/>
  <c r="S59" i="3"/>
  <c r="T59" i="3"/>
  <c r="U59" i="3"/>
  <c r="S60" i="3"/>
  <c r="T60" i="3"/>
  <c r="U60" i="3"/>
  <c r="S61" i="3"/>
  <c r="T61" i="3"/>
  <c r="U61" i="3"/>
  <c r="S62" i="3"/>
  <c r="T62" i="3"/>
  <c r="U62" i="3"/>
  <c r="S63" i="3"/>
  <c r="T63" i="3"/>
  <c r="U63" i="3"/>
  <c r="S64" i="3"/>
  <c r="T64" i="3"/>
  <c r="U64" i="3"/>
  <c r="S65" i="3"/>
  <c r="T65" i="3"/>
  <c r="U65" i="3"/>
  <c r="S66" i="3"/>
  <c r="T66" i="3"/>
  <c r="U66" i="3"/>
  <c r="S67" i="3"/>
  <c r="T67" i="3"/>
  <c r="U67" i="3"/>
  <c r="S68" i="3"/>
  <c r="T68" i="3"/>
  <c r="U68" i="3"/>
  <c r="S69" i="3"/>
  <c r="T69" i="3"/>
  <c r="U69" i="3"/>
  <c r="S70" i="3"/>
  <c r="T70" i="3"/>
  <c r="U70" i="3"/>
  <c r="S71" i="3"/>
  <c r="T71" i="3"/>
  <c r="U71" i="3"/>
  <c r="S72" i="3"/>
  <c r="T72" i="3"/>
  <c r="U72" i="3"/>
  <c r="S73" i="3"/>
  <c r="T73" i="3"/>
  <c r="U73" i="3"/>
  <c r="S74" i="3"/>
  <c r="T74" i="3"/>
  <c r="U74" i="3"/>
  <c r="S75" i="3"/>
  <c r="T75" i="3"/>
  <c r="U75" i="3"/>
  <c r="S76" i="3"/>
  <c r="T76" i="3"/>
  <c r="U76" i="3"/>
  <c r="S77" i="3"/>
  <c r="T77" i="3"/>
  <c r="U77" i="3"/>
  <c r="S78" i="3"/>
  <c r="T78" i="3"/>
  <c r="U78" i="3"/>
  <c r="S79" i="3"/>
  <c r="T79" i="3"/>
  <c r="U79" i="3"/>
  <c r="S80" i="3"/>
  <c r="T80" i="3"/>
  <c r="U80" i="3"/>
  <c r="S81" i="3"/>
  <c r="T81" i="3"/>
  <c r="U81" i="3"/>
  <c r="S82" i="3"/>
  <c r="T82" i="3"/>
  <c r="U82" i="3"/>
  <c r="S83" i="3"/>
  <c r="T83" i="3"/>
  <c r="U83" i="3"/>
  <c r="S84" i="3"/>
  <c r="T84" i="3"/>
  <c r="U84" i="3"/>
  <c r="S85" i="3"/>
  <c r="T85" i="3"/>
  <c r="U85" i="3"/>
  <c r="S86" i="3"/>
  <c r="T86" i="3"/>
  <c r="U86" i="3"/>
  <c r="S87" i="3"/>
  <c r="T87" i="3"/>
  <c r="U87" i="3"/>
  <c r="S88" i="3"/>
  <c r="T88" i="3"/>
  <c r="U88" i="3"/>
  <c r="S89" i="3"/>
  <c r="T89" i="3"/>
  <c r="U89" i="3"/>
  <c r="S90" i="3"/>
  <c r="T90" i="3"/>
  <c r="U90" i="3"/>
  <c r="S91" i="3"/>
  <c r="T91" i="3"/>
  <c r="U91" i="3"/>
  <c r="S92" i="3"/>
  <c r="T92" i="3"/>
  <c r="U92" i="3"/>
  <c r="S93" i="3"/>
  <c r="T93" i="3"/>
  <c r="U93" i="3"/>
  <c r="S94" i="3"/>
  <c r="T94" i="3"/>
  <c r="U94" i="3"/>
  <c r="S95" i="3"/>
  <c r="T95" i="3"/>
  <c r="U95" i="3"/>
  <c r="S96" i="3"/>
  <c r="T96" i="3"/>
  <c r="U96" i="3"/>
  <c r="S97" i="3"/>
  <c r="T97" i="3"/>
  <c r="U97" i="3"/>
  <c r="S98" i="3"/>
  <c r="T98" i="3"/>
  <c r="U98" i="3"/>
  <c r="S99" i="3"/>
  <c r="T99" i="3"/>
  <c r="U99" i="3"/>
  <c r="S100" i="3"/>
  <c r="T100" i="3"/>
  <c r="U100" i="3"/>
  <c r="S101" i="3"/>
  <c r="T101" i="3"/>
  <c r="U101" i="3"/>
  <c r="S102" i="3"/>
  <c r="T102" i="3"/>
  <c r="U102" i="3"/>
  <c r="S103" i="3"/>
  <c r="T103" i="3"/>
  <c r="U103" i="3"/>
  <c r="S104" i="3"/>
  <c r="T104" i="3"/>
  <c r="U104" i="3"/>
  <c r="S105" i="3"/>
  <c r="T105" i="3"/>
  <c r="U105" i="3"/>
  <c r="S106" i="3"/>
  <c r="T106" i="3"/>
  <c r="U106" i="3"/>
  <c r="S107" i="3"/>
  <c r="T107" i="3"/>
  <c r="U107" i="3"/>
  <c r="S108" i="3"/>
  <c r="T108" i="3"/>
  <c r="U108" i="3"/>
  <c r="S109" i="3"/>
  <c r="T109" i="3"/>
  <c r="U109" i="3"/>
  <c r="S110" i="3"/>
  <c r="T110" i="3"/>
  <c r="U110" i="3"/>
  <c r="S111" i="3"/>
  <c r="T111" i="3"/>
  <c r="U111" i="3"/>
  <c r="S112" i="3"/>
  <c r="T112" i="3"/>
  <c r="U112" i="3"/>
  <c r="S113" i="3"/>
  <c r="T113" i="3"/>
  <c r="U113" i="3"/>
  <c r="S114" i="3"/>
  <c r="T114" i="3"/>
  <c r="U114" i="3"/>
  <c r="S115" i="3"/>
  <c r="T115" i="3"/>
  <c r="U115" i="3"/>
  <c r="S116" i="3"/>
  <c r="T116" i="3"/>
  <c r="U116" i="3"/>
  <c r="S117" i="3"/>
  <c r="T117" i="3"/>
  <c r="U117" i="3"/>
  <c r="S118" i="3"/>
  <c r="T118" i="3"/>
  <c r="U118" i="3"/>
  <c r="S119" i="3"/>
  <c r="T119" i="3"/>
  <c r="U119" i="3"/>
  <c r="S120" i="3"/>
  <c r="T120" i="3"/>
  <c r="U120" i="3"/>
  <c r="S121" i="3"/>
  <c r="T121" i="3"/>
  <c r="U121" i="3"/>
  <c r="S122" i="3"/>
  <c r="T122" i="3"/>
  <c r="U122" i="3"/>
  <c r="S123" i="3"/>
  <c r="T123" i="3"/>
  <c r="U123" i="3"/>
  <c r="S124" i="3"/>
  <c r="T124" i="3"/>
  <c r="U124" i="3"/>
  <c r="S125" i="3"/>
  <c r="T125" i="3"/>
  <c r="U125" i="3"/>
  <c r="S126" i="3"/>
  <c r="T126" i="3"/>
  <c r="U126" i="3"/>
  <c r="S127" i="3"/>
  <c r="T127" i="3"/>
  <c r="U127" i="3"/>
  <c r="S128" i="3"/>
  <c r="T128" i="3"/>
  <c r="U128" i="3"/>
  <c r="S129" i="3"/>
  <c r="T129" i="3"/>
  <c r="U129" i="3"/>
  <c r="S130" i="3"/>
  <c r="T130" i="3"/>
  <c r="U130" i="3"/>
  <c r="S131" i="3"/>
  <c r="T131" i="3"/>
  <c r="U131" i="3"/>
  <c r="S132" i="3"/>
  <c r="T132" i="3"/>
  <c r="U132" i="3"/>
  <c r="S133" i="3"/>
  <c r="T133" i="3"/>
  <c r="U133" i="3"/>
  <c r="S134" i="3"/>
  <c r="T134" i="3"/>
  <c r="U134" i="3"/>
  <c r="S135" i="3"/>
  <c r="T135" i="3"/>
  <c r="U135" i="3"/>
  <c r="S136" i="3"/>
  <c r="T136" i="3"/>
  <c r="U136" i="3"/>
  <c r="S137" i="3"/>
  <c r="T137" i="3"/>
  <c r="U137" i="3"/>
  <c r="S138" i="3"/>
  <c r="T138" i="3"/>
  <c r="U138" i="3"/>
  <c r="S139" i="3"/>
  <c r="T139" i="3"/>
  <c r="U139" i="3"/>
  <c r="S140" i="3"/>
  <c r="T140" i="3"/>
  <c r="U140" i="3"/>
  <c r="S141" i="3"/>
  <c r="T141" i="3"/>
  <c r="U141" i="3"/>
  <c r="S142" i="3"/>
  <c r="T142" i="3"/>
  <c r="U142" i="3"/>
  <c r="S143" i="3"/>
  <c r="T143" i="3"/>
  <c r="U143" i="3"/>
  <c r="S144" i="3"/>
  <c r="T144" i="3"/>
  <c r="U144" i="3"/>
  <c r="S145" i="3"/>
  <c r="T145" i="3"/>
  <c r="U145" i="3"/>
  <c r="S146" i="3"/>
  <c r="T146" i="3"/>
  <c r="U146" i="3"/>
  <c r="S147" i="3"/>
  <c r="T147" i="3"/>
  <c r="U147" i="3"/>
  <c r="S148" i="3"/>
  <c r="T148" i="3"/>
  <c r="U148" i="3"/>
  <c r="S149" i="3"/>
  <c r="T149" i="3"/>
  <c r="U149" i="3"/>
  <c r="S150" i="3"/>
  <c r="T150" i="3"/>
  <c r="U150" i="3"/>
  <c r="S151" i="3"/>
  <c r="T151" i="3"/>
  <c r="U151" i="3"/>
  <c r="S152" i="3"/>
  <c r="T152" i="3"/>
  <c r="U152" i="3"/>
  <c r="S153" i="3"/>
  <c r="T153" i="3"/>
  <c r="U153" i="3"/>
  <c r="S154" i="3"/>
  <c r="T154" i="3"/>
  <c r="U154" i="3"/>
  <c r="S155" i="3"/>
  <c r="T155" i="3"/>
  <c r="U155" i="3"/>
  <c r="S156" i="3"/>
  <c r="T156" i="3"/>
  <c r="U156" i="3"/>
  <c r="S157" i="3"/>
  <c r="T157" i="3"/>
  <c r="U157" i="3"/>
  <c r="S158" i="3"/>
  <c r="T158" i="3"/>
  <c r="U158" i="3"/>
  <c r="S159" i="3"/>
  <c r="T159" i="3"/>
  <c r="U159" i="3"/>
  <c r="S160" i="3"/>
  <c r="T160" i="3"/>
  <c r="U160" i="3"/>
  <c r="S161" i="3"/>
  <c r="T161" i="3"/>
  <c r="U161" i="3"/>
  <c r="S162" i="3"/>
  <c r="T162" i="3"/>
  <c r="U162" i="3"/>
  <c r="S163" i="3"/>
  <c r="T163" i="3"/>
  <c r="U163" i="3"/>
  <c r="S164" i="3"/>
  <c r="T164" i="3"/>
  <c r="U164" i="3"/>
  <c r="S165" i="3"/>
  <c r="T165" i="3"/>
  <c r="U165" i="3"/>
  <c r="S166" i="3"/>
  <c r="T166" i="3"/>
  <c r="U166" i="3"/>
  <c r="S167" i="3"/>
  <c r="T167" i="3"/>
  <c r="U167" i="3"/>
  <c r="S168" i="3"/>
  <c r="T168" i="3"/>
  <c r="U168" i="3"/>
  <c r="S169" i="3"/>
  <c r="T169" i="3"/>
  <c r="U169" i="3"/>
  <c r="S170" i="3"/>
  <c r="T170" i="3"/>
  <c r="U170" i="3"/>
  <c r="S171" i="3"/>
  <c r="T171" i="3"/>
  <c r="U171" i="3"/>
  <c r="S172" i="3"/>
  <c r="T172" i="3"/>
  <c r="U172" i="3"/>
  <c r="S173" i="3"/>
  <c r="T173" i="3"/>
  <c r="U173" i="3"/>
  <c r="S174" i="3"/>
  <c r="T174" i="3"/>
  <c r="U174" i="3"/>
  <c r="S175" i="3"/>
  <c r="T175" i="3"/>
  <c r="U175" i="3"/>
  <c r="S176" i="3"/>
  <c r="T176" i="3"/>
  <c r="U176" i="3"/>
  <c r="S177" i="3"/>
  <c r="T177" i="3"/>
  <c r="U177" i="3"/>
  <c r="S178" i="3"/>
  <c r="T178" i="3"/>
  <c r="U178" i="3"/>
  <c r="S179" i="3"/>
  <c r="T179" i="3"/>
  <c r="U179" i="3"/>
  <c r="S180" i="3"/>
  <c r="T180" i="3"/>
  <c r="U180" i="3"/>
  <c r="S181" i="3"/>
  <c r="T181" i="3"/>
  <c r="U181" i="3"/>
  <c r="S182" i="3"/>
  <c r="T182" i="3"/>
  <c r="U182" i="3"/>
  <c r="S183" i="3"/>
  <c r="T183" i="3"/>
  <c r="U183" i="3"/>
  <c r="S184" i="3"/>
  <c r="T184" i="3"/>
  <c r="U184" i="3"/>
  <c r="S185" i="3"/>
  <c r="T185" i="3"/>
  <c r="U185" i="3"/>
  <c r="S186" i="3"/>
  <c r="T186" i="3"/>
  <c r="U186" i="3"/>
  <c r="S187" i="3"/>
  <c r="T187" i="3"/>
  <c r="U187" i="3"/>
  <c r="S188" i="3"/>
  <c r="T188" i="3"/>
  <c r="U188" i="3"/>
  <c r="S189" i="3"/>
  <c r="T189" i="3"/>
  <c r="U189" i="3"/>
  <c r="S190" i="3"/>
  <c r="T190" i="3"/>
  <c r="U190" i="3"/>
  <c r="S191" i="3"/>
  <c r="T191" i="3"/>
  <c r="U191" i="3"/>
  <c r="S192" i="3"/>
  <c r="T192" i="3"/>
  <c r="U192" i="3"/>
  <c r="S193" i="3"/>
  <c r="T193" i="3"/>
  <c r="U193" i="3"/>
  <c r="S194" i="3"/>
  <c r="T194" i="3"/>
  <c r="U194" i="3"/>
  <c r="S195" i="3"/>
  <c r="T195" i="3"/>
  <c r="U195" i="3"/>
  <c r="S196" i="3"/>
  <c r="T196" i="3"/>
  <c r="U196" i="3"/>
  <c r="S197" i="3"/>
  <c r="T197" i="3"/>
  <c r="U197" i="3"/>
  <c r="S198" i="3"/>
  <c r="T198" i="3"/>
  <c r="U198" i="3"/>
  <c r="S199" i="3"/>
  <c r="T199" i="3"/>
  <c r="U199" i="3"/>
  <c r="S200" i="3"/>
  <c r="T200" i="3"/>
  <c r="U200" i="3"/>
  <c r="S201" i="3"/>
  <c r="T201" i="3"/>
  <c r="U201" i="3"/>
  <c r="S202" i="3"/>
  <c r="T202" i="3"/>
  <c r="U202" i="3"/>
  <c r="S203" i="3"/>
  <c r="T203" i="3"/>
  <c r="U203" i="3"/>
  <c r="S204" i="3"/>
  <c r="T204" i="3"/>
  <c r="U204" i="3"/>
  <c r="S205" i="3"/>
  <c r="T205" i="3"/>
  <c r="U205" i="3"/>
  <c r="S206" i="3"/>
  <c r="T206" i="3"/>
  <c r="U206" i="3"/>
  <c r="S207" i="3"/>
  <c r="T207" i="3"/>
  <c r="U207" i="3"/>
  <c r="S208" i="3"/>
  <c r="T208" i="3"/>
  <c r="U208" i="3"/>
  <c r="S209" i="3"/>
  <c r="T209" i="3"/>
  <c r="U209" i="3"/>
  <c r="S210" i="3"/>
  <c r="T210" i="3"/>
  <c r="U210" i="3"/>
  <c r="S211" i="3"/>
  <c r="T211" i="3"/>
  <c r="U211" i="3"/>
  <c r="S212" i="3"/>
  <c r="T212" i="3"/>
  <c r="U212" i="3"/>
  <c r="S213" i="3"/>
  <c r="T213" i="3"/>
  <c r="U213" i="3"/>
  <c r="S214" i="3"/>
  <c r="T214" i="3"/>
  <c r="U214" i="3"/>
  <c r="S215" i="3"/>
  <c r="T215" i="3"/>
  <c r="U215" i="3"/>
  <c r="S216" i="3"/>
  <c r="T216" i="3"/>
  <c r="U216" i="3"/>
  <c r="S217" i="3"/>
  <c r="T217" i="3"/>
  <c r="U217" i="3"/>
  <c r="S218" i="3"/>
  <c r="T218" i="3"/>
  <c r="U218" i="3"/>
  <c r="S219" i="3"/>
  <c r="T219" i="3"/>
  <c r="U219" i="3"/>
  <c r="S220" i="3"/>
  <c r="T220" i="3"/>
  <c r="U220" i="3"/>
  <c r="S221" i="3"/>
  <c r="T221" i="3"/>
  <c r="U221" i="3"/>
  <c r="S222" i="3"/>
  <c r="T222" i="3"/>
  <c r="U222" i="3"/>
  <c r="S223" i="3"/>
  <c r="T223" i="3"/>
  <c r="U223" i="3"/>
  <c r="S224" i="3"/>
  <c r="T224" i="3"/>
  <c r="U224" i="3"/>
  <c r="S225" i="3"/>
  <c r="T225" i="3"/>
  <c r="U225" i="3"/>
  <c r="S226" i="3"/>
  <c r="T226" i="3"/>
  <c r="U226" i="3"/>
  <c r="S227" i="3"/>
  <c r="T227" i="3"/>
  <c r="U227" i="3"/>
  <c r="S228" i="3"/>
  <c r="T228" i="3"/>
  <c r="U228" i="3"/>
  <c r="S229" i="3"/>
  <c r="T229" i="3"/>
  <c r="U229" i="3"/>
  <c r="S230" i="3"/>
  <c r="T230" i="3"/>
  <c r="U230" i="3"/>
  <c r="S231" i="3"/>
  <c r="T231" i="3"/>
  <c r="U231" i="3"/>
  <c r="S232" i="3"/>
  <c r="T232" i="3"/>
  <c r="U232" i="3"/>
  <c r="S233" i="3"/>
  <c r="T233" i="3"/>
  <c r="U233" i="3"/>
  <c r="S234" i="3"/>
  <c r="T234" i="3"/>
  <c r="U234" i="3"/>
  <c r="S235" i="3"/>
  <c r="T235" i="3"/>
  <c r="U235" i="3"/>
  <c r="S236" i="3"/>
  <c r="T236" i="3"/>
  <c r="U236" i="3"/>
  <c r="S237" i="3"/>
  <c r="T237" i="3"/>
  <c r="U237" i="3"/>
  <c r="S238" i="3"/>
  <c r="T238" i="3"/>
  <c r="U238" i="3"/>
  <c r="S239" i="3"/>
  <c r="T239" i="3"/>
  <c r="U239" i="3"/>
  <c r="S240" i="3"/>
  <c r="T240" i="3"/>
  <c r="U240" i="3"/>
  <c r="S241" i="3"/>
  <c r="T241" i="3"/>
  <c r="U241" i="3"/>
  <c r="S242" i="3"/>
  <c r="T242" i="3"/>
  <c r="U242" i="3"/>
  <c r="S243" i="3"/>
  <c r="T243" i="3"/>
  <c r="U243" i="3"/>
  <c r="S244" i="3"/>
  <c r="T244" i="3"/>
  <c r="U244" i="3"/>
  <c r="S245" i="3"/>
  <c r="T245" i="3"/>
  <c r="U245" i="3"/>
  <c r="S246" i="3"/>
  <c r="T246" i="3"/>
  <c r="U246" i="3"/>
  <c r="S247" i="3"/>
  <c r="T247" i="3"/>
  <c r="U247" i="3"/>
  <c r="S248" i="3"/>
  <c r="T248" i="3"/>
  <c r="U248" i="3"/>
  <c r="S249" i="3"/>
  <c r="T249" i="3"/>
  <c r="U249" i="3"/>
  <c r="S250" i="3"/>
  <c r="T250" i="3"/>
  <c r="U250" i="3"/>
  <c r="S251" i="3"/>
  <c r="T251" i="3"/>
  <c r="U251" i="3"/>
  <c r="S252" i="3"/>
  <c r="T252" i="3"/>
  <c r="U252" i="3"/>
  <c r="S253" i="3"/>
  <c r="T253" i="3"/>
  <c r="U253" i="3"/>
  <c r="S254" i="3"/>
  <c r="T254" i="3"/>
  <c r="U254" i="3"/>
  <c r="S255" i="3"/>
  <c r="T255" i="3"/>
  <c r="U255" i="3"/>
  <c r="S256" i="3"/>
  <c r="T256" i="3"/>
  <c r="U256" i="3"/>
  <c r="S257" i="3"/>
  <c r="T257" i="3"/>
  <c r="U257" i="3"/>
  <c r="S258" i="3"/>
  <c r="T258" i="3"/>
  <c r="U258" i="3"/>
  <c r="S259" i="3"/>
  <c r="T259" i="3"/>
  <c r="U259" i="3"/>
  <c r="S260" i="3"/>
  <c r="T260" i="3"/>
  <c r="U260" i="3"/>
  <c r="S261" i="3"/>
  <c r="T261" i="3"/>
  <c r="U261" i="3"/>
  <c r="S262" i="3"/>
  <c r="T262" i="3"/>
  <c r="U262" i="3"/>
  <c r="S263" i="3"/>
  <c r="T263" i="3"/>
  <c r="U263" i="3"/>
  <c r="S264" i="3"/>
  <c r="T264" i="3"/>
  <c r="U264" i="3"/>
  <c r="S265" i="3"/>
  <c r="T265" i="3"/>
  <c r="U265" i="3"/>
  <c r="S266" i="3"/>
  <c r="T266" i="3"/>
  <c r="U266" i="3"/>
  <c r="S267" i="3"/>
  <c r="T267" i="3"/>
  <c r="U267" i="3"/>
  <c r="S268" i="3"/>
  <c r="T268" i="3"/>
  <c r="U268" i="3"/>
  <c r="S269" i="3"/>
  <c r="T269" i="3"/>
  <c r="U269" i="3"/>
  <c r="S270" i="3"/>
  <c r="T270" i="3"/>
  <c r="U270" i="3"/>
  <c r="S271" i="3"/>
  <c r="T271" i="3"/>
  <c r="U271" i="3"/>
  <c r="S272" i="3"/>
  <c r="T272" i="3"/>
  <c r="U272" i="3"/>
  <c r="S273" i="3"/>
  <c r="T273" i="3"/>
  <c r="U273" i="3"/>
  <c r="S274" i="3"/>
  <c r="T274" i="3"/>
  <c r="U274" i="3"/>
  <c r="S275" i="3"/>
  <c r="T275" i="3"/>
  <c r="U275" i="3"/>
  <c r="S276" i="3"/>
  <c r="T276" i="3"/>
  <c r="U276" i="3"/>
  <c r="S277" i="3"/>
  <c r="T277" i="3"/>
  <c r="U277" i="3"/>
  <c r="S278" i="3"/>
  <c r="T278" i="3"/>
  <c r="U278" i="3"/>
  <c r="S279" i="3"/>
  <c r="T279" i="3"/>
  <c r="U279" i="3"/>
  <c r="S280" i="3"/>
  <c r="T280" i="3"/>
  <c r="U280" i="3"/>
  <c r="S281" i="3"/>
  <c r="T281" i="3"/>
  <c r="U281" i="3"/>
  <c r="S282" i="3"/>
  <c r="T282" i="3"/>
  <c r="U282" i="3"/>
  <c r="S283" i="3"/>
  <c r="T283" i="3"/>
  <c r="U283" i="3"/>
  <c r="S284" i="3"/>
  <c r="T284" i="3"/>
  <c r="U284" i="3"/>
  <c r="S285" i="3"/>
  <c r="T285" i="3"/>
  <c r="U285" i="3"/>
  <c r="S286" i="3"/>
  <c r="T286" i="3"/>
  <c r="U286" i="3"/>
  <c r="S287" i="3"/>
  <c r="T287" i="3"/>
  <c r="U287" i="3"/>
  <c r="S288" i="3"/>
  <c r="T288" i="3"/>
  <c r="U288" i="3"/>
  <c r="S289" i="3"/>
  <c r="T289" i="3"/>
  <c r="U289" i="3"/>
  <c r="S290" i="3"/>
  <c r="T290" i="3"/>
  <c r="U290" i="3"/>
  <c r="S291" i="3"/>
  <c r="T291" i="3"/>
  <c r="U291" i="3"/>
  <c r="S292" i="3"/>
  <c r="T292" i="3"/>
  <c r="U292" i="3"/>
  <c r="S293" i="3"/>
  <c r="T293" i="3"/>
  <c r="U293" i="3"/>
  <c r="S294" i="3"/>
  <c r="T294" i="3"/>
  <c r="U294" i="3"/>
  <c r="S295" i="3"/>
  <c r="T295" i="3"/>
  <c r="U295" i="3"/>
  <c r="S296" i="3"/>
  <c r="T296" i="3"/>
  <c r="U296" i="3"/>
  <c r="S297" i="3"/>
  <c r="T297" i="3"/>
  <c r="U297" i="3"/>
  <c r="S298" i="3"/>
  <c r="T298" i="3"/>
  <c r="U298" i="3"/>
  <c r="S299" i="3"/>
  <c r="T299" i="3"/>
  <c r="U299" i="3"/>
  <c r="S300" i="3"/>
  <c r="T300" i="3"/>
  <c r="U300" i="3"/>
  <c r="S301" i="3"/>
  <c r="T301" i="3"/>
  <c r="U301" i="3"/>
  <c r="S302" i="3"/>
  <c r="T302" i="3"/>
  <c r="U302" i="3"/>
  <c r="S303" i="3"/>
  <c r="T303" i="3"/>
  <c r="U303" i="3"/>
  <c r="S304" i="3"/>
  <c r="T304" i="3"/>
  <c r="U304" i="3"/>
  <c r="S305" i="3"/>
  <c r="T305" i="3"/>
  <c r="U305" i="3"/>
  <c r="S306" i="3"/>
  <c r="T306" i="3"/>
  <c r="U306" i="3"/>
  <c r="S307" i="3"/>
  <c r="T307" i="3"/>
  <c r="U307" i="3"/>
  <c r="S308" i="3"/>
  <c r="T308" i="3"/>
  <c r="U308" i="3"/>
  <c r="S309" i="3"/>
  <c r="T309" i="3"/>
  <c r="U309" i="3"/>
  <c r="S310" i="3"/>
  <c r="T310" i="3"/>
  <c r="U310" i="3"/>
  <c r="S311" i="3"/>
  <c r="T311" i="3"/>
  <c r="U311" i="3"/>
  <c r="S312" i="3"/>
  <c r="T312" i="3"/>
  <c r="U312" i="3"/>
  <c r="S313" i="3"/>
  <c r="T313" i="3"/>
  <c r="U313" i="3"/>
  <c r="S314" i="3"/>
  <c r="T314" i="3"/>
  <c r="U314" i="3"/>
  <c r="S315" i="3"/>
  <c r="T315" i="3"/>
  <c r="U315" i="3"/>
  <c r="S316" i="3"/>
  <c r="T316" i="3"/>
  <c r="U316" i="3"/>
  <c r="S317" i="3"/>
  <c r="T317" i="3"/>
  <c r="U317" i="3"/>
  <c r="S318" i="3"/>
  <c r="T318" i="3"/>
  <c r="U318" i="3"/>
  <c r="S319" i="3"/>
  <c r="T319" i="3"/>
  <c r="U319" i="3"/>
  <c r="S320" i="3"/>
  <c r="T320" i="3"/>
  <c r="U320" i="3"/>
  <c r="S321" i="3"/>
  <c r="T321" i="3"/>
  <c r="U321" i="3"/>
  <c r="C14" i="9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2" i="3"/>
</calcChain>
</file>

<file path=xl/sharedStrings.xml><?xml version="1.0" encoding="utf-8"?>
<sst xmlns="http://schemas.openxmlformats.org/spreadsheetml/2006/main" count="2120" uniqueCount="178">
  <si>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</si>
  <si>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</si>
  <si>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</si>
  <si>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</si>
  <si>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</si>
  <si>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</si>
  <si>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</si>
  <si>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</si>
  <si>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</si>
  <si>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</si>
  <si>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</si>
  <si>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</si>
  <si>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</si>
  <si>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</si>
  <si>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</si>
  <si>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</si>
  <si>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</si>
  <si>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</si>
  <si>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</si>
  <si>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</si>
  <si>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</si>
  <si>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</si>
  <si>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</si>
  <si>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</si>
  <si>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</si>
  <si>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</si>
  <si>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</si>
  <si>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</si>
  <si>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</si>
  <si>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</si>
  <si>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</si>
  <si>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</si>
  <si>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</si>
  <si>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</si>
  <si>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</si>
  <si>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</si>
  <si>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</si>
  <si>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</si>
  <si>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</si>
  <si>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</si>
  <si>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</si>
  <si>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</si>
  <si>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</si>
  <si>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</si>
  <si>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</si>
  <si>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</si>
  <si>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</si>
  <si>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</si>
  <si>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</si>
  <si>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</si>
  <si>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</si>
  <si>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</si>
  <si>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</si>
  <si>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</si>
  <si>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</si>
  <si>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</si>
  <si>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</si>
  <si>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</si>
  <si>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</si>
  <si>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</si>
  <si>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</si>
  <si>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</si>
  <si>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</si>
  <si>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</si>
  <si>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</si>
  <si>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</si>
  <si>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</si>
  <si>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</si>
  <si>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</si>
  <si>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</si>
  <si>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</si>
  <si>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</si>
  <si>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</si>
  <si>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</si>
  <si>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</si>
  <si>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</si>
  <si>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</si>
  <si>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</si>
  <si>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</si>
  <si>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</si>
  <si>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</si>
  <si>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</si>
  <si>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</si>
  <si>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</si>
  <si>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</si>
  <si>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</si>
  <si>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</si>
  <si>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</si>
  <si>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</si>
  <si>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</si>
  <si>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</si>
  <si>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</si>
  <si>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</si>
  <si>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</si>
  <si>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</si>
  <si>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</si>
  <si>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</si>
  <si>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</si>
  <si>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</si>
  <si>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</si>
  <si>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</si>
  <si>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</si>
  <si>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</si>
  <si>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</si>
  <si>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</si>
  <si>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</si>
  <si>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</si>
  <si>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</si>
  <si>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</si>
  <si>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</si>
  <si>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</si>
  <si>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</si>
  <si>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</si>
  <si>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</si>
  <si>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</si>
  <si>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</si>
  <si>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</si>
  <si>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</si>
  <si>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north</t>
  </si>
  <si>
    <t>south</t>
  </si>
  <si>
    <t>west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</si>
  <si>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</si>
  <si>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</si>
  <si>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</si>
  <si>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</si>
  <si>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</si>
  <si>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</si>
  <si>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</si>
  <si>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</si>
  <si>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</si>
  <si>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</si>
  <si>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</si>
  <si>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</si>
  <si>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</si>
  <si>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</si>
  <si>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</si>
  <si>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</si>
  <si>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</si>
  <si>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</si>
  <si>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</si>
  <si>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</si>
  <si>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</si>
  <si>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</si>
  <si>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</si>
  <si>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</si>
  <si>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predition sales</t>
  </si>
  <si>
    <t>residual calculation</t>
  </si>
  <si>
    <t>Model Name</t>
  </si>
  <si>
    <t>Significant Variables</t>
  </si>
  <si>
    <t>Business Usefulness</t>
  </si>
  <si>
    <t>Limitations</t>
  </si>
  <si>
    <t>Simple Regression 1</t>
  </si>
  <si>
    <t>Simple Regression 2</t>
  </si>
  <si>
    <t>Multiple Regression</t>
  </si>
  <si>
    <t xml:space="preserve">dummy high street </t>
  </si>
  <si>
    <t>dummy residential</t>
  </si>
  <si>
    <t>dummy north</t>
  </si>
  <si>
    <t>dummy south</t>
  </si>
  <si>
    <t>dummy west</t>
  </si>
  <si>
    <t>Variables Used</t>
  </si>
  <si>
    <t>R-Squared</t>
  </si>
  <si>
    <t>marketing_spend, footfall, inventory_availability_pct, south, west</t>
  </si>
  <si>
    <t>marketing_spend (p value &lt; 0.05)</t>
  </si>
  <si>
    <t>footfall (p value &lt; 0.05)</t>
  </si>
  <si>
    <t>explains only 16.7% of sales variation and ignores other factors</t>
  </si>
  <si>
    <t>uses only one variable and ignores other business drivers</t>
  </si>
  <si>
    <t>does not prove causation  North variable is not statistically significant (p = 0.1484)</t>
  </si>
  <si>
    <t>best model for forecasting and decision-making as it accounts for several factors that affect sales</t>
  </si>
  <si>
    <t>good predictor of sales and helpful for examining the effect of customer visits on sales</t>
  </si>
  <si>
    <t>relationship between marketing expenditure and sales</t>
  </si>
  <si>
    <t>dependent : monthly_sales, Independent: marketing_spend</t>
  </si>
  <si>
    <t>dependent: monthly_sales, Independent: footfall</t>
  </si>
  <si>
    <t>dependent: monthly_sales, Independent: marketing_spend, footfall, inventory_availability_pct, north, south, west</t>
  </si>
  <si>
    <t>Store ID</t>
  </si>
  <si>
    <t>Actual Sales</t>
  </si>
  <si>
    <t>Predicted Sales</t>
  </si>
  <si>
    <t>Top 5 Largest Positive Residuals</t>
  </si>
  <si>
    <t>Top 5 Largest Negative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</si>
</sst>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5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i/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4" fillId="0" borderId="4" xfId="0" applyFont="1" applyBorder="1" applyAlignment="1">
      <alignment horizontal="right" vertical="center" wrapText="1"/>
    </xf>
    <xf numFmtId="4" fontId="0" fillId="0" borderId="4" xfId="0" applyNumberFormat="1" applyBorder="1" applyAlignment="1">
      <alignment horizontal="right" vertical="center" wrapText="1"/>
    </xf>
    <xf numFmtId="4" fontId="0" fillId="0" borderId="4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opLeftCell="I1" workbookViewId="0">
      <selection activeCell="O3" sqref="O3"/>
    </sheetView>
  </sheetViews>
  <sheetFormatPr defaultRowHeight="14.25"/>
  <cols>
    <col min="1" max="1" width="9.25" bestFit="1" customWidth="1"/>
    <col min="2" max="2" width="7.5" bestFit="1" customWidth="1"/>
    <col min="3" max="3" width="6.625" bestFit="1" customWidth="1"/>
    <col min="4" max="4" width="10.25" bestFit="1" customWidth="1"/>
    <col min="5" max="5" width="16.25" bestFit="1" customWidth="1"/>
    <col min="6" max="6" width="7" bestFit="1" customWidth="1"/>
    <col min="7" max="7" width="16.625" bestFit="1" customWidth="1"/>
    <col min="8" max="8" width="10.75" bestFit="1" customWidth="1"/>
    <col min="9" max="9" width="23.625" bestFit="1" customWidth="1"/>
    <col min="10" max="10" width="22.75" bestFit="1" customWidth="1"/>
    <col min="11" max="11" width="11.375" bestFit="1" customWidth="1"/>
    <col min="12" max="12" width="15.375" bestFit="1" customWidth="1"/>
    <col min="13" max="13" width="13.5" bestFit="1" customWidth="1"/>
    <col min="14" max="14" width="13.625" bestFit="1" customWidth="1"/>
  </cols>
  <sheetData>
    <row r="1" spans="1:14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4" t="s">
        <v>14</v>
      </c>
      <c r="B2" s="5">
        <v>45658</v>
      </c>
      <c r="C2" s="4" t="s">
        <v>15</v>
      </c>
      <c r="D2" s="4" t="s">
        <v>16</v>
      </c>
      <c r="E2" s="4">
        <v>70389.11</v>
      </c>
      <c r="F2" s="4">
        <v>8302</v>
      </c>
      <c r="G2" s="4">
        <v>4.2000000000000003E-2</v>
      </c>
      <c r="H2" s="4">
        <v>17</v>
      </c>
      <c r="I2" s="4">
        <v>75</v>
      </c>
      <c r="J2" s="4">
        <v>5.28</v>
      </c>
      <c r="K2" s="4">
        <v>1</v>
      </c>
      <c r="L2" s="4">
        <v>3.1</v>
      </c>
      <c r="M2" s="4">
        <v>658832.62</v>
      </c>
      <c r="N2" s="4">
        <v>84349.93</v>
      </c>
    </row>
    <row r="3" spans="1:14">
      <c r="A3" s="4" t="s">
        <v>14</v>
      </c>
      <c r="B3" s="5">
        <v>45689</v>
      </c>
      <c r="C3" s="4" t="s">
        <v>15</v>
      </c>
      <c r="D3" s="4" t="s">
        <v>16</v>
      </c>
      <c r="E3" s="4">
        <v>43827.89</v>
      </c>
      <c r="F3" s="4">
        <v>8487</v>
      </c>
      <c r="G3" s="4">
        <v>0.16800000000000001</v>
      </c>
      <c r="H3" s="4">
        <v>23</v>
      </c>
      <c r="I3" s="4">
        <v>84.4</v>
      </c>
      <c r="J3" s="4">
        <v>4.3099999999999996</v>
      </c>
      <c r="K3" s="4">
        <v>0</v>
      </c>
      <c r="L3" s="4">
        <v>2.8</v>
      </c>
      <c r="M3" s="4">
        <v>634436</v>
      </c>
      <c r="N3" s="4">
        <v>106130.54</v>
      </c>
    </row>
    <row r="4" spans="1:14">
      <c r="A4" s="4" t="s">
        <v>14</v>
      </c>
      <c r="B4" s="5">
        <v>45717</v>
      </c>
      <c r="C4" s="4" t="s">
        <v>15</v>
      </c>
      <c r="D4" s="4" t="s">
        <v>16</v>
      </c>
      <c r="E4" s="4">
        <v>59921.75</v>
      </c>
      <c r="F4" s="4">
        <v>9113</v>
      </c>
      <c r="G4" s="4">
        <v>0.13300000000000001</v>
      </c>
      <c r="H4" s="4">
        <v>20</v>
      </c>
      <c r="I4" s="4">
        <v>88</v>
      </c>
      <c r="J4" s="4">
        <v>12</v>
      </c>
      <c r="K4" s="4">
        <v>0</v>
      </c>
      <c r="L4" s="4">
        <v>3.2</v>
      </c>
      <c r="M4" s="4">
        <v>678722.06</v>
      </c>
      <c r="N4" s="4">
        <v>101883.86</v>
      </c>
    </row>
    <row r="5" spans="1:14">
      <c r="A5" s="4" t="s">
        <v>14</v>
      </c>
      <c r="B5" s="5">
        <v>45748</v>
      </c>
      <c r="C5" s="4" t="s">
        <v>15</v>
      </c>
      <c r="D5" s="4" t="s">
        <v>16</v>
      </c>
      <c r="E5" s="4">
        <v>56856.63</v>
      </c>
      <c r="F5" s="4">
        <v>9431</v>
      </c>
      <c r="G5" s="4">
        <v>0.14199999999999999</v>
      </c>
      <c r="H5" s="4">
        <v>23</v>
      </c>
      <c r="I5" s="4">
        <v>86.9</v>
      </c>
      <c r="J5" s="4">
        <v>4.97</v>
      </c>
      <c r="K5" s="4">
        <v>0</v>
      </c>
      <c r="L5" s="4">
        <v>3.4</v>
      </c>
      <c r="M5" s="4">
        <v>658920.30000000005</v>
      </c>
      <c r="N5" s="4">
        <v>97910.37</v>
      </c>
    </row>
    <row r="6" spans="1:14">
      <c r="A6" s="4" t="s">
        <v>17</v>
      </c>
      <c r="B6" s="5">
        <v>45658</v>
      </c>
      <c r="C6" s="4" t="s">
        <v>15</v>
      </c>
      <c r="D6" s="4" t="s">
        <v>18</v>
      </c>
      <c r="E6" s="4">
        <v>48412.639999999999</v>
      </c>
      <c r="F6" s="4">
        <v>9545</v>
      </c>
      <c r="G6" s="4">
        <v>0.23100000000000001</v>
      </c>
      <c r="H6" s="4">
        <v>21</v>
      </c>
      <c r="I6" s="4">
        <v>97.6</v>
      </c>
      <c r="J6" s="4">
        <v>6.94</v>
      </c>
      <c r="K6" s="4">
        <v>1</v>
      </c>
      <c r="L6" s="4">
        <v>4.2</v>
      </c>
      <c r="M6" s="4">
        <v>741341.44</v>
      </c>
      <c r="N6" s="4">
        <v>119208.17</v>
      </c>
    </row>
    <row r="7" spans="1:14">
      <c r="A7" s="4" t="s">
        <v>17</v>
      </c>
      <c r="B7" s="5">
        <v>45689</v>
      </c>
      <c r="C7" s="4" t="s">
        <v>15</v>
      </c>
      <c r="D7" s="4" t="s">
        <v>18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 s="4">
        <v>0</v>
      </c>
      <c r="L7" s="4">
        <v>4.2</v>
      </c>
      <c r="M7" s="4">
        <v>761835.34</v>
      </c>
      <c r="N7" s="4">
        <v>149602.23000000001</v>
      </c>
    </row>
    <row r="8" spans="1:14">
      <c r="A8" s="4" t="s">
        <v>17</v>
      </c>
      <c r="B8" s="5">
        <v>45717</v>
      </c>
      <c r="C8" s="4" t="s">
        <v>15</v>
      </c>
      <c r="D8" s="4" t="s">
        <v>18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 s="4">
        <v>1</v>
      </c>
      <c r="L8" s="4">
        <v>4.0999999999999996</v>
      </c>
      <c r="M8" s="4">
        <v>806615.54</v>
      </c>
      <c r="N8" s="4">
        <v>131364.62</v>
      </c>
    </row>
    <row r="9" spans="1:14">
      <c r="A9" s="4" t="s">
        <v>17</v>
      </c>
      <c r="B9" s="5">
        <v>45748</v>
      </c>
      <c r="C9" s="4" t="s">
        <v>15</v>
      </c>
      <c r="D9" s="4" t="s">
        <v>18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 s="4">
        <v>0</v>
      </c>
      <c r="L9" s="4">
        <v>3.9</v>
      </c>
      <c r="M9" s="4">
        <v>850164.26</v>
      </c>
      <c r="N9" s="4">
        <v>149262.75</v>
      </c>
    </row>
    <row r="10" spans="1:14">
      <c r="A10" s="4" t="s">
        <v>19</v>
      </c>
      <c r="B10" s="5">
        <v>45658</v>
      </c>
      <c r="C10" s="4" t="s">
        <v>20</v>
      </c>
      <c r="D10" s="4" t="s">
        <v>21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 s="4">
        <v>1</v>
      </c>
      <c r="L10" s="4">
        <v>3.8</v>
      </c>
      <c r="M10" s="4">
        <v>930581.7</v>
      </c>
      <c r="N10" s="4">
        <v>136207.98000000001</v>
      </c>
    </row>
    <row r="11" spans="1:14">
      <c r="A11" s="4" t="s">
        <v>19</v>
      </c>
      <c r="B11" s="5">
        <v>45689</v>
      </c>
      <c r="C11" s="4" t="s">
        <v>20</v>
      </c>
      <c r="D11" s="4" t="s">
        <v>21</v>
      </c>
      <c r="E11" s="4">
        <v>68133.440000000002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 s="4">
        <v>0</v>
      </c>
      <c r="L11" s="4">
        <v>4.2</v>
      </c>
      <c r="M11" s="4">
        <v>779010.94</v>
      </c>
      <c r="N11" s="4">
        <v>106328.09</v>
      </c>
    </row>
    <row r="12" spans="1:14">
      <c r="A12" s="4" t="s">
        <v>19</v>
      </c>
      <c r="B12" s="5">
        <v>45717</v>
      </c>
      <c r="C12" s="4" t="s">
        <v>20</v>
      </c>
      <c r="D12" s="4" t="s">
        <v>21</v>
      </c>
      <c r="E12" s="4">
        <v>34285.21</v>
      </c>
      <c r="F12" s="4">
        <v>9172</v>
      </c>
      <c r="G12" s="4">
        <v>0.21299999999999999</v>
      </c>
      <c r="H12" s="4">
        <v>22</v>
      </c>
      <c r="I12" s="4">
        <v>88.3</v>
      </c>
      <c r="J12" s="4">
        <v>10.46</v>
      </c>
      <c r="K12" s="4">
        <v>1</v>
      </c>
      <c r="L12" s="4">
        <v>3.8</v>
      </c>
      <c r="M12" s="4">
        <v>723060.76</v>
      </c>
      <c r="N12" s="4">
        <v>123131.24</v>
      </c>
    </row>
    <row r="13" spans="1:14">
      <c r="A13" s="4" t="s">
        <v>19</v>
      </c>
      <c r="B13" s="5">
        <v>45748</v>
      </c>
      <c r="C13" s="4" t="s">
        <v>20</v>
      </c>
      <c r="D13" s="4" t="s">
        <v>21</v>
      </c>
      <c r="E13" s="4">
        <v>67979.88</v>
      </c>
      <c r="F13" s="4">
        <v>11230</v>
      </c>
      <c r="G13" s="4">
        <v>2E-3</v>
      </c>
      <c r="H13" s="4">
        <v>28</v>
      </c>
      <c r="I13" s="4">
        <v>85.3</v>
      </c>
      <c r="J13" s="4">
        <v>7.16</v>
      </c>
      <c r="K13" s="4">
        <v>0</v>
      </c>
      <c r="L13" s="4">
        <v>3.8</v>
      </c>
      <c r="M13" s="4">
        <v>910791.94</v>
      </c>
      <c r="N13" s="4">
        <v>158891.28</v>
      </c>
    </row>
    <row r="14" spans="1:14">
      <c r="A14" s="4" t="s">
        <v>22</v>
      </c>
      <c r="B14" s="5">
        <v>45658</v>
      </c>
      <c r="C14" s="4" t="s">
        <v>15</v>
      </c>
      <c r="D14" s="4" t="s">
        <v>16</v>
      </c>
      <c r="E14" s="4">
        <v>71828.259999999995</v>
      </c>
      <c r="F14" s="4">
        <v>12775</v>
      </c>
      <c r="G14" s="4">
        <v>0.11600000000000001</v>
      </c>
      <c r="H14" s="4">
        <v>30</v>
      </c>
      <c r="I14" s="4">
        <v>81.7</v>
      </c>
      <c r="J14" s="4">
        <v>4.24</v>
      </c>
      <c r="K14" s="4">
        <v>1</v>
      </c>
      <c r="L14" s="4">
        <v>4.2</v>
      </c>
      <c r="M14" s="4">
        <v>922168.6</v>
      </c>
      <c r="N14" s="4">
        <v>107494.53</v>
      </c>
    </row>
    <row r="15" spans="1:14">
      <c r="A15" s="4" t="s">
        <v>22</v>
      </c>
      <c r="B15" s="5">
        <v>45689</v>
      </c>
      <c r="C15" s="4" t="s">
        <v>15</v>
      </c>
      <c r="D15" s="4" t="s">
        <v>16</v>
      </c>
      <c r="E15" s="4">
        <v>55716.82</v>
      </c>
      <c r="F15" s="4">
        <v>10054</v>
      </c>
      <c r="G15" s="4">
        <v>0.14599999999999999</v>
      </c>
      <c r="H15" s="4">
        <v>24</v>
      </c>
      <c r="I15" s="4">
        <v>84.9</v>
      </c>
      <c r="J15" s="4">
        <v>1.06</v>
      </c>
      <c r="K15" s="4">
        <v>0</v>
      </c>
      <c r="L15" s="4">
        <v>4.3</v>
      </c>
      <c r="M15" s="4">
        <v>726606.28</v>
      </c>
      <c r="N15" s="4">
        <v>122729.29</v>
      </c>
    </row>
    <row r="16" spans="1:14">
      <c r="A16" s="4" t="s">
        <v>22</v>
      </c>
      <c r="B16" s="5">
        <v>45717</v>
      </c>
      <c r="C16" s="4" t="s">
        <v>15</v>
      </c>
      <c r="D16" s="4" t="s">
        <v>16</v>
      </c>
      <c r="E16" s="4">
        <v>59909.51</v>
      </c>
      <c r="F16" s="4">
        <v>8895</v>
      </c>
      <c r="G16" s="4">
        <v>0.22800000000000001</v>
      </c>
      <c r="H16" s="4">
        <v>23</v>
      </c>
      <c r="I16" s="4">
        <v>88.8</v>
      </c>
      <c r="J16" s="4">
        <v>0.27</v>
      </c>
      <c r="K16" s="4">
        <v>0</v>
      </c>
      <c r="L16" s="4">
        <v>4.3</v>
      </c>
      <c r="M16" s="4">
        <v>746501.09</v>
      </c>
      <c r="N16" s="4">
        <v>136816.72</v>
      </c>
    </row>
    <row r="17" spans="1:14">
      <c r="A17" s="4" t="s">
        <v>22</v>
      </c>
      <c r="B17" s="5">
        <v>45748</v>
      </c>
      <c r="C17" s="4" t="s">
        <v>15</v>
      </c>
      <c r="D17" s="4" t="s">
        <v>16</v>
      </c>
      <c r="E17" s="4">
        <v>75305.710000000006</v>
      </c>
      <c r="F17" s="4">
        <v>10940</v>
      </c>
      <c r="G17" s="4">
        <v>6.0000000000000001E-3</v>
      </c>
      <c r="H17" s="4">
        <v>26</v>
      </c>
      <c r="I17" s="4">
        <v>76.5</v>
      </c>
      <c r="J17" s="4">
        <v>1.32</v>
      </c>
      <c r="K17" s="4">
        <v>0</v>
      </c>
      <c r="L17" s="4">
        <v>4.5</v>
      </c>
      <c r="M17" s="4">
        <v>834017.02</v>
      </c>
      <c r="N17" s="4">
        <v>114745.03</v>
      </c>
    </row>
    <row r="18" spans="1:14">
      <c r="A18" s="4" t="s">
        <v>23</v>
      </c>
      <c r="B18" s="5">
        <v>45658</v>
      </c>
      <c r="C18" s="4" t="s">
        <v>24</v>
      </c>
      <c r="D18" s="4" t="s">
        <v>16</v>
      </c>
      <c r="E18" s="4">
        <v>48804.22</v>
      </c>
      <c r="F18" s="4">
        <v>7057</v>
      </c>
      <c r="G18" s="4">
        <v>5.0000000000000001E-3</v>
      </c>
      <c r="H18" s="4">
        <v>15</v>
      </c>
      <c r="I18" s="4">
        <v>87.7</v>
      </c>
      <c r="J18" s="4">
        <v>1.22</v>
      </c>
      <c r="K18" s="4">
        <v>0</v>
      </c>
      <c r="L18" s="4">
        <v>3.7</v>
      </c>
      <c r="M18" s="4">
        <v>666152.52</v>
      </c>
      <c r="N18" s="4">
        <v>107490.58</v>
      </c>
    </row>
    <row r="19" spans="1:14">
      <c r="A19" s="4" t="s">
        <v>23</v>
      </c>
      <c r="B19" s="5">
        <v>45689</v>
      </c>
      <c r="C19" s="4" t="s">
        <v>24</v>
      </c>
      <c r="D19" s="4" t="s">
        <v>16</v>
      </c>
      <c r="E19" s="4">
        <v>59117.9</v>
      </c>
      <c r="F19" s="4">
        <v>4263</v>
      </c>
      <c r="G19" s="4">
        <v>0.11899999999999999</v>
      </c>
      <c r="H19" s="4">
        <v>9</v>
      </c>
      <c r="I19" s="4">
        <v>87.6</v>
      </c>
      <c r="J19" s="4">
        <v>4.01</v>
      </c>
      <c r="K19" s="4">
        <v>0</v>
      </c>
      <c r="L19" s="4">
        <v>3.6</v>
      </c>
      <c r="M19" s="4">
        <v>573155.18999999994</v>
      </c>
      <c r="N19" s="4">
        <v>83680.75</v>
      </c>
    </row>
    <row r="20" spans="1:14">
      <c r="A20" s="4" t="s">
        <v>23</v>
      </c>
      <c r="B20" s="5">
        <v>45717</v>
      </c>
      <c r="C20" s="4" t="s">
        <v>24</v>
      </c>
      <c r="D20" s="4" t="s">
        <v>16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 s="4">
        <v>0</v>
      </c>
      <c r="L20" s="4">
        <v>3.9</v>
      </c>
      <c r="M20" s="4">
        <v>666573.19999999995</v>
      </c>
      <c r="N20" s="4">
        <v>140641.01999999999</v>
      </c>
    </row>
    <row r="21" spans="1:14">
      <c r="A21" s="4" t="s">
        <v>23</v>
      </c>
      <c r="B21" s="5">
        <v>45748</v>
      </c>
      <c r="C21" s="4" t="s">
        <v>24</v>
      </c>
      <c r="D21" s="4" t="s">
        <v>16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 s="4">
        <v>0</v>
      </c>
      <c r="L21" s="4">
        <v>4</v>
      </c>
      <c r="M21" s="4">
        <v>591619.94999999995</v>
      </c>
      <c r="N21" s="4">
        <v>99521.35</v>
      </c>
    </row>
    <row r="22" spans="1:14">
      <c r="A22" s="4" t="s">
        <v>25</v>
      </c>
      <c r="B22" s="5">
        <v>45658</v>
      </c>
      <c r="C22" s="4" t="s">
        <v>20</v>
      </c>
      <c r="D22" s="4" t="s">
        <v>16</v>
      </c>
      <c r="E22" s="4">
        <v>30356.28</v>
      </c>
      <c r="F22" s="4">
        <v>2822</v>
      </c>
      <c r="G22" s="4">
        <v>0.23100000000000001</v>
      </c>
      <c r="H22" s="4">
        <v>9</v>
      </c>
      <c r="I22" s="4">
        <v>84.8</v>
      </c>
      <c r="J22" s="4">
        <v>6.95</v>
      </c>
      <c r="K22" s="4">
        <v>0</v>
      </c>
      <c r="L22" s="4">
        <v>5</v>
      </c>
      <c r="M22" s="4">
        <v>415721.82</v>
      </c>
      <c r="N22" s="4">
        <v>61179.15</v>
      </c>
    </row>
    <row r="23" spans="1:14">
      <c r="A23" s="4" t="s">
        <v>25</v>
      </c>
      <c r="B23" s="5">
        <v>45689</v>
      </c>
      <c r="C23" s="4" t="s">
        <v>20</v>
      </c>
      <c r="D23" s="4" t="s">
        <v>16</v>
      </c>
      <c r="E23" s="4">
        <v>33518.879999999997</v>
      </c>
      <c r="F23" s="4">
        <v>2121</v>
      </c>
      <c r="G23" s="4">
        <v>0.17599999999999999</v>
      </c>
      <c r="H23" s="4">
        <v>8</v>
      </c>
      <c r="I23" s="4">
        <v>88.5</v>
      </c>
      <c r="J23" s="4">
        <v>0.2</v>
      </c>
      <c r="K23" s="4">
        <v>0</v>
      </c>
      <c r="L23" s="4">
        <v>5</v>
      </c>
      <c r="M23" s="4">
        <v>491905.13</v>
      </c>
      <c r="N23" s="4">
        <v>79212.259999999995</v>
      </c>
    </row>
    <row r="24" spans="1:14">
      <c r="A24" s="4" t="s">
        <v>25</v>
      </c>
      <c r="B24" s="5">
        <v>45717</v>
      </c>
      <c r="C24" s="4" t="s">
        <v>20</v>
      </c>
      <c r="D24" s="4" t="s">
        <v>16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 s="4">
        <v>1</v>
      </c>
      <c r="L24" s="4">
        <v>4.5999999999999996</v>
      </c>
      <c r="M24" s="4">
        <v>555929.4</v>
      </c>
      <c r="N24" s="4">
        <v>115201.76</v>
      </c>
    </row>
    <row r="25" spans="1:14">
      <c r="A25" s="4" t="s">
        <v>25</v>
      </c>
      <c r="B25" s="5">
        <v>45748</v>
      </c>
      <c r="C25" s="4" t="s">
        <v>20</v>
      </c>
      <c r="D25" s="4" t="s">
        <v>16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 s="4">
        <v>0</v>
      </c>
      <c r="L25" s="4">
        <v>4.7</v>
      </c>
      <c r="M25" s="4">
        <v>565810.99</v>
      </c>
      <c r="N25" s="4">
        <v>77825.460000000006</v>
      </c>
    </row>
    <row r="26" spans="1:14">
      <c r="A26" s="4" t="s">
        <v>26</v>
      </c>
      <c r="B26" s="5">
        <v>45658</v>
      </c>
      <c r="C26" s="4" t="s">
        <v>27</v>
      </c>
      <c r="D26" s="4" t="s">
        <v>28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 s="4">
        <v>0</v>
      </c>
      <c r="L26" s="4">
        <v>3.5</v>
      </c>
      <c r="M26" s="4">
        <v>811771.14</v>
      </c>
      <c r="N26" s="4">
        <v>148756.24</v>
      </c>
    </row>
    <row r="27" spans="1:14">
      <c r="A27" s="4" t="s">
        <v>26</v>
      </c>
      <c r="B27" s="5">
        <v>45689</v>
      </c>
      <c r="C27" s="4" t="s">
        <v>27</v>
      </c>
      <c r="D27" s="4" t="s">
        <v>28</v>
      </c>
      <c r="E27" s="4">
        <v>172415.52</v>
      </c>
      <c r="F27" s="4">
        <v>8927</v>
      </c>
      <c r="G27" s="4">
        <v>0.14000000000000001</v>
      </c>
      <c r="H27" s="4">
        <v>22</v>
      </c>
      <c r="I27" s="4">
        <v>86.2</v>
      </c>
      <c r="J27" s="4">
        <v>7.04</v>
      </c>
      <c r="K27" s="4">
        <v>0</v>
      </c>
      <c r="L27" s="4">
        <v>3.9</v>
      </c>
      <c r="M27" s="4">
        <v>800451.94</v>
      </c>
      <c r="N27" s="4">
        <v>111572.29</v>
      </c>
    </row>
    <row r="28" spans="1:14">
      <c r="A28" s="4" t="s">
        <v>26</v>
      </c>
      <c r="B28" s="5">
        <v>45717</v>
      </c>
      <c r="C28" s="4" t="s">
        <v>27</v>
      </c>
      <c r="D28" s="4" t="s">
        <v>28</v>
      </c>
      <c r="E28" s="4">
        <v>55270.52</v>
      </c>
      <c r="F28" s="4">
        <v>9315</v>
      </c>
      <c r="G28" s="4">
        <v>0.16900000000000001</v>
      </c>
      <c r="H28" s="4">
        <v>23</v>
      </c>
      <c r="I28" s="4">
        <v>91.9</v>
      </c>
      <c r="J28" s="4">
        <v>4.9400000000000004</v>
      </c>
      <c r="K28" s="4">
        <v>0</v>
      </c>
      <c r="L28" s="4">
        <v>4</v>
      </c>
      <c r="M28" s="4">
        <v>783672.82</v>
      </c>
      <c r="N28" s="4">
        <v>112577.14</v>
      </c>
    </row>
    <row r="29" spans="1:14">
      <c r="A29" s="4" t="s">
        <v>26</v>
      </c>
      <c r="B29" s="5">
        <v>45748</v>
      </c>
      <c r="C29" s="4" t="s">
        <v>27</v>
      </c>
      <c r="D29" s="4" t="s">
        <v>28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16.149999999999999</v>
      </c>
      <c r="K29" s="4">
        <v>0</v>
      </c>
      <c r="L29" s="4">
        <v>3.7</v>
      </c>
      <c r="M29" s="4">
        <v>701641.97</v>
      </c>
      <c r="N29" s="4">
        <v>106111.86</v>
      </c>
    </row>
    <row r="30" spans="1:14">
      <c r="A30" s="4" t="s">
        <v>29</v>
      </c>
      <c r="B30" s="5">
        <v>45658</v>
      </c>
      <c r="C30" s="4" t="s">
        <v>15</v>
      </c>
      <c r="D30" s="4" t="s">
        <v>16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 s="4">
        <v>0</v>
      </c>
      <c r="L30" s="4">
        <v>3.6</v>
      </c>
      <c r="M30" s="4">
        <v>511844.41</v>
      </c>
      <c r="N30" s="4">
        <v>72774.44</v>
      </c>
    </row>
    <row r="31" spans="1:14">
      <c r="A31" s="4" t="s">
        <v>29</v>
      </c>
      <c r="B31" s="5">
        <v>45689</v>
      </c>
      <c r="C31" s="4" t="s">
        <v>15</v>
      </c>
      <c r="D31" s="4" t="s">
        <v>16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 s="4">
        <v>0</v>
      </c>
      <c r="L31" s="4">
        <v>3.1</v>
      </c>
      <c r="M31" s="4">
        <v>537383.79</v>
      </c>
      <c r="N31" s="4">
        <v>63773.27</v>
      </c>
    </row>
    <row r="32" spans="1:14">
      <c r="A32" s="4" t="s">
        <v>29</v>
      </c>
      <c r="B32" s="5">
        <v>45717</v>
      </c>
      <c r="C32" s="4" t="s">
        <v>15</v>
      </c>
      <c r="D32" s="4" t="s">
        <v>16</v>
      </c>
      <c r="E32" s="4">
        <v>44970.080000000002</v>
      </c>
      <c r="F32" s="4">
        <v>2471</v>
      </c>
      <c r="G32" s="4">
        <v>0.13600000000000001</v>
      </c>
      <c r="H32" s="4">
        <v>11</v>
      </c>
      <c r="I32" s="4">
        <v>87.6</v>
      </c>
      <c r="J32" s="4">
        <v>3.01</v>
      </c>
      <c r="K32" s="4">
        <v>1</v>
      </c>
      <c r="L32" s="4">
        <v>3.7</v>
      </c>
      <c r="M32" s="4">
        <v>500173.02</v>
      </c>
      <c r="N32" s="4">
        <v>70982.05</v>
      </c>
    </row>
    <row r="33" spans="1:14">
      <c r="A33" s="4" t="s">
        <v>29</v>
      </c>
      <c r="B33" s="5">
        <v>45748</v>
      </c>
      <c r="C33" s="4" t="s">
        <v>15</v>
      </c>
      <c r="D33" s="4" t="s">
        <v>16</v>
      </c>
      <c r="E33" s="4">
        <v>69816.350000000006</v>
      </c>
      <c r="F33" s="4">
        <v>971</v>
      </c>
      <c r="G33" s="4">
        <v>0.16800000000000001</v>
      </c>
      <c r="H33" s="4">
        <v>5</v>
      </c>
      <c r="I33" s="4">
        <v>89.9</v>
      </c>
      <c r="J33" s="4">
        <v>12.15</v>
      </c>
      <c r="K33" s="4">
        <v>0</v>
      </c>
      <c r="L33" s="4">
        <v>3.6</v>
      </c>
      <c r="M33" s="4">
        <v>427917.38</v>
      </c>
      <c r="N33" s="4">
        <v>81824.31</v>
      </c>
    </row>
    <row r="34" spans="1:14">
      <c r="A34" s="4" t="s">
        <v>30</v>
      </c>
      <c r="B34" s="5">
        <v>45658</v>
      </c>
      <c r="C34" s="4" t="s">
        <v>20</v>
      </c>
      <c r="D34" s="4" t="s">
        <v>16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 s="4">
        <v>0</v>
      </c>
      <c r="L34" s="4">
        <v>4.2</v>
      </c>
      <c r="M34" s="4">
        <v>641865.03</v>
      </c>
      <c r="N34" s="4">
        <v>81342.58</v>
      </c>
    </row>
    <row r="35" spans="1:14">
      <c r="A35" s="4" t="s">
        <v>30</v>
      </c>
      <c r="B35" s="5">
        <v>45689</v>
      </c>
      <c r="C35" s="4" t="s">
        <v>20</v>
      </c>
      <c r="D35" s="4" t="s">
        <v>16</v>
      </c>
      <c r="E35" s="4">
        <v>73771.91</v>
      </c>
      <c r="F35" s="4">
        <v>11695</v>
      </c>
      <c r="G35" s="4">
        <v>7.0000000000000007E-2</v>
      </c>
      <c r="H35" s="4">
        <v>25</v>
      </c>
      <c r="I35" s="4">
        <v>84.7</v>
      </c>
      <c r="J35" s="4">
        <v>0.62</v>
      </c>
      <c r="K35" s="4">
        <v>0</v>
      </c>
      <c r="L35" s="4"/>
      <c r="M35" s="4">
        <v>799477.76000000001</v>
      </c>
      <c r="N35" s="4">
        <v>164974.41</v>
      </c>
    </row>
    <row r="36" spans="1:14">
      <c r="A36" s="4" t="s">
        <v>30</v>
      </c>
      <c r="B36" s="5">
        <v>45717</v>
      </c>
      <c r="C36" s="4" t="s">
        <v>20</v>
      </c>
      <c r="D36" s="4" t="s">
        <v>16</v>
      </c>
      <c r="E36" s="4">
        <v>74413.88</v>
      </c>
      <c r="F36" s="4">
        <v>9449</v>
      </c>
      <c r="G36" s="4">
        <v>3.9E-2</v>
      </c>
      <c r="H36" s="4">
        <v>23</v>
      </c>
      <c r="I36" s="4">
        <v>92.1</v>
      </c>
      <c r="J36" s="4">
        <v>2.12</v>
      </c>
      <c r="K36" s="4">
        <v>0</v>
      </c>
      <c r="L36" s="4">
        <v>3.5</v>
      </c>
      <c r="M36" s="4">
        <v>798952.17</v>
      </c>
      <c r="N36" s="4">
        <v>161499.04</v>
      </c>
    </row>
    <row r="37" spans="1:14">
      <c r="A37" s="4" t="s">
        <v>30</v>
      </c>
      <c r="B37" s="5">
        <v>45748</v>
      </c>
      <c r="C37" s="4" t="s">
        <v>20</v>
      </c>
      <c r="D37" s="4" t="s">
        <v>16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 s="4">
        <v>0</v>
      </c>
      <c r="L37" s="4">
        <v>3.6</v>
      </c>
      <c r="M37" s="4">
        <v>800979.78</v>
      </c>
      <c r="N37" s="4">
        <v>149242.26999999999</v>
      </c>
    </row>
    <row r="38" spans="1:14">
      <c r="A38" s="4" t="s">
        <v>31</v>
      </c>
      <c r="B38" s="5">
        <v>45658</v>
      </c>
      <c r="C38" s="4" t="s">
        <v>20</v>
      </c>
      <c r="D38" s="4" t="s">
        <v>28</v>
      </c>
      <c r="E38" s="4">
        <v>75269.87</v>
      </c>
      <c r="F38" s="4">
        <v>8838</v>
      </c>
      <c r="G38" s="4">
        <v>9.1999999999999998E-2</v>
      </c>
      <c r="H38" s="4">
        <v>21</v>
      </c>
      <c r="I38" s="4">
        <v>83.1</v>
      </c>
      <c r="J38" s="4">
        <v>9.56</v>
      </c>
      <c r="K38" s="4">
        <v>1</v>
      </c>
      <c r="L38" s="4">
        <v>4.2</v>
      </c>
      <c r="M38" s="4">
        <v>820593.93</v>
      </c>
      <c r="N38" s="4">
        <v>115860.06</v>
      </c>
    </row>
    <row r="39" spans="1:14">
      <c r="A39" s="4" t="s">
        <v>31</v>
      </c>
      <c r="B39" s="5">
        <v>45689</v>
      </c>
      <c r="C39" s="4" t="s">
        <v>20</v>
      </c>
      <c r="D39" s="4" t="s">
        <v>28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9.0500000000000007</v>
      </c>
      <c r="K39" s="4">
        <v>0</v>
      </c>
      <c r="L39" s="4">
        <v>3.8</v>
      </c>
      <c r="M39" s="4">
        <v>718330.53</v>
      </c>
      <c r="N39" s="4">
        <v>93247.9</v>
      </c>
    </row>
    <row r="40" spans="1:14">
      <c r="A40" s="4" t="s">
        <v>31</v>
      </c>
      <c r="B40" s="5">
        <v>45717</v>
      </c>
      <c r="C40" s="4" t="s">
        <v>20</v>
      </c>
      <c r="D40" s="4" t="s">
        <v>28</v>
      </c>
      <c r="E40" s="4">
        <v>93381.26</v>
      </c>
      <c r="F40" s="4">
        <v>7562</v>
      </c>
      <c r="G40" s="4">
        <v>0.19800000000000001</v>
      </c>
      <c r="H40" s="4">
        <v>19</v>
      </c>
      <c r="I40" s="4">
        <v>82.9</v>
      </c>
      <c r="J40" s="4">
        <v>5.05</v>
      </c>
      <c r="K40" s="4">
        <v>0</v>
      </c>
      <c r="L40" s="4">
        <v>4</v>
      </c>
      <c r="M40" s="4">
        <v>736633.4</v>
      </c>
      <c r="N40" s="4">
        <v>115654.66</v>
      </c>
    </row>
    <row r="41" spans="1:14">
      <c r="A41" s="4" t="s">
        <v>31</v>
      </c>
      <c r="B41" s="5">
        <v>45748</v>
      </c>
      <c r="C41" s="4" t="s">
        <v>20</v>
      </c>
      <c r="D41" s="4" t="s">
        <v>28</v>
      </c>
      <c r="E41" s="4">
        <v>65012.19</v>
      </c>
      <c r="F41" s="4">
        <v>9598</v>
      </c>
      <c r="G41" s="4">
        <v>8.5000000000000006E-2</v>
      </c>
      <c r="H41" s="4">
        <v>24</v>
      </c>
      <c r="I41" s="4">
        <v>98.3</v>
      </c>
      <c r="J41" s="4">
        <v>0.89</v>
      </c>
      <c r="K41" s="4">
        <v>0</v>
      </c>
      <c r="L41" s="4">
        <v>3.8</v>
      </c>
      <c r="M41" s="4">
        <v>828623.85</v>
      </c>
      <c r="N41" s="4">
        <v>167320.51999999999</v>
      </c>
    </row>
    <row r="42" spans="1:14">
      <c r="A42" s="4" t="s">
        <v>32</v>
      </c>
      <c r="B42" s="5">
        <v>45658</v>
      </c>
      <c r="C42" s="4" t="s">
        <v>15</v>
      </c>
      <c r="D42" s="4" t="s">
        <v>28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 s="4">
        <v>0</v>
      </c>
      <c r="L42" s="4">
        <v>4.4000000000000004</v>
      </c>
      <c r="M42" s="4">
        <v>592195.85</v>
      </c>
      <c r="N42" s="4">
        <v>92291.56</v>
      </c>
    </row>
    <row r="43" spans="1:14">
      <c r="A43" s="4" t="s">
        <v>32</v>
      </c>
      <c r="B43" s="5">
        <v>45689</v>
      </c>
      <c r="C43" s="4" t="s">
        <v>15</v>
      </c>
      <c r="D43" s="4" t="s">
        <v>28</v>
      </c>
      <c r="E43" s="4">
        <v>46123.88</v>
      </c>
      <c r="F43" s="4">
        <v>3227</v>
      </c>
      <c r="G43" s="4">
        <v>0.14299999999999999</v>
      </c>
      <c r="H43" s="4">
        <v>10</v>
      </c>
      <c r="I43" s="4">
        <v>75.400000000000006</v>
      </c>
      <c r="J43" s="4">
        <v>1.06</v>
      </c>
      <c r="K43" s="4">
        <v>0</v>
      </c>
      <c r="L43" s="4">
        <v>4.4000000000000004</v>
      </c>
      <c r="M43" s="4">
        <v>532644.46</v>
      </c>
      <c r="N43" s="4">
        <v>60681.32</v>
      </c>
    </row>
    <row r="44" spans="1:14">
      <c r="A44" s="4" t="s">
        <v>32</v>
      </c>
      <c r="B44" s="5">
        <v>45717</v>
      </c>
      <c r="C44" s="4" t="s">
        <v>15</v>
      </c>
      <c r="D44" s="4" t="s">
        <v>28</v>
      </c>
      <c r="E44" s="4">
        <v>68077.539999999994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 s="4">
        <v>1</v>
      </c>
      <c r="L44" s="4">
        <v>4</v>
      </c>
      <c r="M44" s="4">
        <v>657429.18000000005</v>
      </c>
      <c r="N44" s="4">
        <v>88919.74</v>
      </c>
    </row>
    <row r="45" spans="1:14">
      <c r="A45" s="4" t="s">
        <v>32</v>
      </c>
      <c r="B45" s="5">
        <v>45748</v>
      </c>
      <c r="C45" s="4" t="s">
        <v>15</v>
      </c>
      <c r="D45" s="4" t="s">
        <v>28</v>
      </c>
      <c r="E45" s="4">
        <v>64882.14</v>
      </c>
      <c r="F45" s="4">
        <v>3642</v>
      </c>
      <c r="G45" s="4">
        <v>1.9E-2</v>
      </c>
      <c r="H45" s="4">
        <v>13</v>
      </c>
      <c r="I45" s="4">
        <v>87.8</v>
      </c>
      <c r="J45" s="4">
        <v>4.5199999999999996</v>
      </c>
      <c r="K45" s="4">
        <v>0</v>
      </c>
      <c r="L45" s="4">
        <v>4.2</v>
      </c>
      <c r="M45" s="4">
        <v>605178</v>
      </c>
      <c r="N45" s="4">
        <v>106958.74</v>
      </c>
    </row>
    <row r="46" spans="1:14">
      <c r="A46" s="4" t="s">
        <v>33</v>
      </c>
      <c r="B46" s="5">
        <v>45658</v>
      </c>
      <c r="C46" s="4" t="s">
        <v>27</v>
      </c>
      <c r="D46" s="4" t="s">
        <v>16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 s="4">
        <v>0</v>
      </c>
      <c r="L46" s="4">
        <v>3.2</v>
      </c>
      <c r="M46" s="4">
        <v>595467.6</v>
      </c>
      <c r="N46" s="4">
        <v>104276.46</v>
      </c>
    </row>
    <row r="47" spans="1:14">
      <c r="A47" s="4" t="s">
        <v>33</v>
      </c>
      <c r="B47" s="5">
        <v>45689</v>
      </c>
      <c r="C47" s="4" t="s">
        <v>27</v>
      </c>
      <c r="D47" s="4" t="s">
        <v>16</v>
      </c>
      <c r="E47" s="4">
        <v>63630.21</v>
      </c>
      <c r="F47" s="4">
        <v>4460</v>
      </c>
      <c r="G47" s="4">
        <v>0.23499999999999999</v>
      </c>
      <c r="H47" s="4">
        <v>14</v>
      </c>
      <c r="I47" s="4">
        <v>98.6</v>
      </c>
      <c r="J47" s="4">
        <v>5.52</v>
      </c>
      <c r="K47" s="4">
        <v>0</v>
      </c>
      <c r="L47" s="4">
        <v>3.5</v>
      </c>
      <c r="M47" s="4">
        <v>599603.4</v>
      </c>
      <c r="N47" s="4">
        <v>112685.12</v>
      </c>
    </row>
    <row r="48" spans="1:14">
      <c r="A48" s="4" t="s">
        <v>33</v>
      </c>
      <c r="B48" s="5">
        <v>45717</v>
      </c>
      <c r="C48" s="4" t="s">
        <v>27</v>
      </c>
      <c r="D48" s="4" t="s">
        <v>16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 s="4">
        <v>1</v>
      </c>
      <c r="L48" s="4">
        <v>3.2</v>
      </c>
      <c r="M48" s="4">
        <v>614800.09</v>
      </c>
      <c r="N48" s="4">
        <v>100044.2</v>
      </c>
    </row>
    <row r="49" spans="1:14">
      <c r="A49" s="4" t="s">
        <v>33</v>
      </c>
      <c r="B49" s="5">
        <v>45748</v>
      </c>
      <c r="C49" s="4" t="s">
        <v>27</v>
      </c>
      <c r="D49" s="4" t="s">
        <v>16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 s="4">
        <v>0</v>
      </c>
      <c r="L49" s="4">
        <v>3.3</v>
      </c>
      <c r="M49" s="4">
        <v>585365.73</v>
      </c>
      <c r="N49" s="4">
        <v>81011.520000000004</v>
      </c>
    </row>
    <row r="50" spans="1:14">
      <c r="A50" s="4" t="s">
        <v>34</v>
      </c>
      <c r="B50" s="5">
        <v>45658</v>
      </c>
      <c r="C50" s="4" t="s">
        <v>20</v>
      </c>
      <c r="D50" s="4" t="s">
        <v>28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 s="4">
        <v>1</v>
      </c>
      <c r="L50" s="4">
        <v>4.7</v>
      </c>
      <c r="M50" s="4">
        <v>622811.74</v>
      </c>
      <c r="N50" s="4">
        <v>109978.35</v>
      </c>
    </row>
    <row r="51" spans="1:14">
      <c r="A51" s="4" t="s">
        <v>34</v>
      </c>
      <c r="B51" s="5">
        <v>45689</v>
      </c>
      <c r="C51" s="4" t="s">
        <v>20</v>
      </c>
      <c r="D51" s="4" t="s">
        <v>28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 s="4">
        <v>0</v>
      </c>
      <c r="L51" s="4">
        <v>4.5999999999999996</v>
      </c>
      <c r="M51" s="4">
        <v>603297.56999999995</v>
      </c>
      <c r="N51" s="4">
        <v>60592.26</v>
      </c>
    </row>
    <row r="52" spans="1:14">
      <c r="A52" s="4" t="s">
        <v>34</v>
      </c>
      <c r="B52" s="5">
        <v>45717</v>
      </c>
      <c r="C52" s="4" t="s">
        <v>20</v>
      </c>
      <c r="D52" s="4" t="s">
        <v>28</v>
      </c>
      <c r="E52" s="4">
        <v>48287.85</v>
      </c>
      <c r="F52" s="4">
        <v>5150</v>
      </c>
      <c r="G52" s="4">
        <v>8.0000000000000002E-3</v>
      </c>
      <c r="H52" s="4">
        <v>12</v>
      </c>
      <c r="I52" s="4">
        <v>80.400000000000006</v>
      </c>
      <c r="J52" s="4">
        <v>7.4</v>
      </c>
      <c r="K52" s="4">
        <v>0</v>
      </c>
      <c r="L52" s="4">
        <v>4.5</v>
      </c>
      <c r="M52" s="4">
        <v>625672.86</v>
      </c>
      <c r="N52" s="4">
        <v>118020.12</v>
      </c>
    </row>
    <row r="53" spans="1:14">
      <c r="A53" s="4" t="s">
        <v>34</v>
      </c>
      <c r="B53" s="5">
        <v>45748</v>
      </c>
      <c r="C53" s="4" t="s">
        <v>20</v>
      </c>
      <c r="D53" s="4" t="s">
        <v>28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 s="4">
        <v>0</v>
      </c>
      <c r="L53" s="4">
        <v>4.5999999999999996</v>
      </c>
      <c r="M53" s="4">
        <v>773815.14</v>
      </c>
      <c r="N53" s="4">
        <v>133948.39000000001</v>
      </c>
    </row>
    <row r="54" spans="1:14">
      <c r="A54" s="4" t="s">
        <v>35</v>
      </c>
      <c r="B54" s="5">
        <v>45658</v>
      </c>
      <c r="C54" s="4" t="s">
        <v>27</v>
      </c>
      <c r="D54" s="4" t="s">
        <v>18</v>
      </c>
      <c r="E54" s="4">
        <v>53015.46</v>
      </c>
      <c r="F54" s="4">
        <v>3279</v>
      </c>
      <c r="G54" s="4">
        <v>8.6999999999999994E-2</v>
      </c>
      <c r="H54" s="4">
        <v>9</v>
      </c>
      <c r="I54" s="4">
        <v>84.3</v>
      </c>
      <c r="J54" s="4">
        <v>22.02</v>
      </c>
      <c r="K54" s="4">
        <v>0</v>
      </c>
      <c r="L54" s="4">
        <v>3.9</v>
      </c>
      <c r="M54" s="4">
        <v>463534.25</v>
      </c>
      <c r="N54" s="4">
        <v>81834.539999999994</v>
      </c>
    </row>
    <row r="55" spans="1:14">
      <c r="A55" s="4" t="s">
        <v>35</v>
      </c>
      <c r="B55" s="5">
        <v>45689</v>
      </c>
      <c r="C55" s="4" t="s">
        <v>27</v>
      </c>
      <c r="D55" s="4" t="s">
        <v>18</v>
      </c>
      <c r="E55" s="4">
        <v>99874.01</v>
      </c>
      <c r="F55" s="4">
        <v>5887</v>
      </c>
      <c r="G55" s="4">
        <v>0.26200000000000001</v>
      </c>
      <c r="H55" s="4">
        <v>14</v>
      </c>
      <c r="I55" s="4">
        <v>88.7</v>
      </c>
      <c r="J55" s="4">
        <v>6.18</v>
      </c>
      <c r="K55" s="4">
        <v>0</v>
      </c>
      <c r="L55" s="4">
        <v>4.7</v>
      </c>
      <c r="M55" s="4">
        <v>746677.75</v>
      </c>
      <c r="N55" s="4">
        <v>122437.84</v>
      </c>
    </row>
    <row r="56" spans="1:14">
      <c r="A56" s="4" t="s">
        <v>35</v>
      </c>
      <c r="B56" s="5">
        <v>45717</v>
      </c>
      <c r="C56" s="4" t="s">
        <v>27</v>
      </c>
      <c r="D56" s="4" t="s">
        <v>18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 s="4">
        <v>0</v>
      </c>
      <c r="L56" s="4">
        <v>4.3</v>
      </c>
      <c r="M56" s="4">
        <v>720852.5</v>
      </c>
      <c r="N56" s="4">
        <v>98565.62</v>
      </c>
    </row>
    <row r="57" spans="1:14">
      <c r="A57" s="4" t="s">
        <v>35</v>
      </c>
      <c r="B57" s="5">
        <v>45748</v>
      </c>
      <c r="C57" s="4" t="s">
        <v>27</v>
      </c>
      <c r="D57" s="4" t="s">
        <v>18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 s="4">
        <v>0</v>
      </c>
      <c r="L57" s="4">
        <v>4.0999999999999996</v>
      </c>
      <c r="M57" s="4">
        <v>487464.91</v>
      </c>
      <c r="N57" s="4">
        <v>64562.26</v>
      </c>
    </row>
    <row r="58" spans="1:14">
      <c r="A58" s="4" t="s">
        <v>36</v>
      </c>
      <c r="B58" s="5">
        <v>45658</v>
      </c>
      <c r="C58" s="4" t="s">
        <v>15</v>
      </c>
      <c r="D58" s="4" t="s">
        <v>21</v>
      </c>
      <c r="E58" s="4">
        <v>19365.060000000001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 s="4">
        <v>0</v>
      </c>
      <c r="L58" s="4">
        <v>3.5</v>
      </c>
      <c r="M58" s="4">
        <v>518049.26</v>
      </c>
      <c r="N58" s="4">
        <v>108592.49</v>
      </c>
    </row>
    <row r="59" spans="1:14">
      <c r="A59" s="4" t="s">
        <v>36</v>
      </c>
      <c r="B59" s="5">
        <v>45689</v>
      </c>
      <c r="C59" s="4" t="s">
        <v>15</v>
      </c>
      <c r="D59" s="4" t="s">
        <v>21</v>
      </c>
      <c r="E59" s="4">
        <v>59405.68</v>
      </c>
      <c r="F59" s="4">
        <v>2515</v>
      </c>
      <c r="G59" s="4">
        <v>3.9E-2</v>
      </c>
      <c r="H59" s="4">
        <v>12</v>
      </c>
      <c r="I59" s="4">
        <v>76</v>
      </c>
      <c r="J59" s="4">
        <v>5.1100000000000003</v>
      </c>
      <c r="K59" s="4">
        <v>0</v>
      </c>
      <c r="L59" s="4">
        <v>3.7</v>
      </c>
      <c r="M59" s="4">
        <v>500298.48</v>
      </c>
      <c r="N59" s="4">
        <v>73461.320000000007</v>
      </c>
    </row>
    <row r="60" spans="1:14">
      <c r="A60" s="4" t="s">
        <v>36</v>
      </c>
      <c r="B60" s="5">
        <v>45717</v>
      </c>
      <c r="C60" s="4" t="s">
        <v>15</v>
      </c>
      <c r="D60" s="4" t="s">
        <v>21</v>
      </c>
      <c r="E60" s="4">
        <v>118910.48</v>
      </c>
      <c r="F60" s="4">
        <v>4022</v>
      </c>
      <c r="G60" s="4">
        <v>0.13700000000000001</v>
      </c>
      <c r="H60" s="4">
        <v>11</v>
      </c>
      <c r="I60" s="4">
        <v>87.1</v>
      </c>
      <c r="J60" s="4">
        <v>0.2</v>
      </c>
      <c r="K60" s="4">
        <v>0</v>
      </c>
      <c r="L60" s="4">
        <v>3.1</v>
      </c>
      <c r="M60" s="4">
        <v>617291.15</v>
      </c>
      <c r="N60" s="4">
        <v>117782</v>
      </c>
    </row>
    <row r="61" spans="1:14">
      <c r="A61" s="4" t="s">
        <v>36</v>
      </c>
      <c r="B61" s="5">
        <v>45748</v>
      </c>
      <c r="C61" s="4" t="s">
        <v>15</v>
      </c>
      <c r="D61" s="4" t="s">
        <v>21</v>
      </c>
      <c r="E61" s="4">
        <v>52952.12</v>
      </c>
      <c r="F61" s="4">
        <v>4377</v>
      </c>
      <c r="G61" s="4">
        <v>9.1999999999999998E-2</v>
      </c>
      <c r="H61" s="4">
        <v>14</v>
      </c>
      <c r="I61" s="4">
        <v>88.6</v>
      </c>
      <c r="J61" s="4">
        <v>13.59</v>
      </c>
      <c r="K61" s="4">
        <v>0</v>
      </c>
      <c r="L61" s="4">
        <v>3.1</v>
      </c>
      <c r="M61" s="4">
        <v>553756.43000000005</v>
      </c>
      <c r="N61" s="4">
        <v>86166.77</v>
      </c>
    </row>
    <row r="62" spans="1:14">
      <c r="A62" s="4" t="s">
        <v>37</v>
      </c>
      <c r="B62" s="5">
        <v>45658</v>
      </c>
      <c r="C62" s="4" t="s">
        <v>24</v>
      </c>
      <c r="D62" s="4" t="s">
        <v>18</v>
      </c>
      <c r="E62" s="4">
        <v>74907.98</v>
      </c>
      <c r="F62" s="4">
        <v>5306</v>
      </c>
      <c r="G62" s="4">
        <v>6.2E-2</v>
      </c>
      <c r="H62" s="4">
        <v>16</v>
      </c>
      <c r="I62" s="4">
        <v>95.6</v>
      </c>
      <c r="J62" s="4">
        <v>1.02</v>
      </c>
      <c r="K62" s="4">
        <v>0</v>
      </c>
      <c r="L62" s="4">
        <v>3.7</v>
      </c>
      <c r="M62" s="4">
        <v>749559.71</v>
      </c>
      <c r="N62" s="4">
        <v>144522.53</v>
      </c>
    </row>
    <row r="63" spans="1:14">
      <c r="A63" s="4" t="s">
        <v>37</v>
      </c>
      <c r="B63" s="5">
        <v>45689</v>
      </c>
      <c r="C63" s="4" t="s">
        <v>24</v>
      </c>
      <c r="D63" s="4" t="s">
        <v>18</v>
      </c>
      <c r="E63" s="4">
        <v>37284.660000000003</v>
      </c>
      <c r="F63" s="4">
        <v>3928</v>
      </c>
      <c r="G63" s="4">
        <v>7.3999999999999996E-2</v>
      </c>
      <c r="H63" s="4">
        <v>12</v>
      </c>
      <c r="I63" s="4">
        <v>86.5</v>
      </c>
      <c r="J63" s="4">
        <v>1.64</v>
      </c>
      <c r="K63" s="4">
        <v>0</v>
      </c>
      <c r="L63" s="4">
        <v>3.8</v>
      </c>
      <c r="M63" s="4">
        <v>615966.48</v>
      </c>
      <c r="N63" s="4">
        <v>91509.38</v>
      </c>
    </row>
    <row r="64" spans="1:14">
      <c r="A64" s="4" t="s">
        <v>37</v>
      </c>
      <c r="B64" s="5">
        <v>45717</v>
      </c>
      <c r="C64" s="4" t="s">
        <v>24</v>
      </c>
      <c r="D64" s="4" t="s">
        <v>18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 s="4">
        <v>0</v>
      </c>
      <c r="L64" s="4">
        <v>3.3</v>
      </c>
      <c r="M64" s="4">
        <v>572011.19999999995</v>
      </c>
      <c r="N64" s="4">
        <v>101409.68</v>
      </c>
    </row>
    <row r="65" spans="1:14">
      <c r="A65" s="4" t="s">
        <v>37</v>
      </c>
      <c r="B65" s="5">
        <v>45748</v>
      </c>
      <c r="C65" s="4" t="s">
        <v>24</v>
      </c>
      <c r="D65" s="4" t="s">
        <v>18</v>
      </c>
      <c r="E65" s="4">
        <v>74954.47</v>
      </c>
      <c r="F65" s="4">
        <v>6620</v>
      </c>
      <c r="G65" s="4">
        <v>5.3999999999999999E-2</v>
      </c>
      <c r="H65" s="4">
        <v>17</v>
      </c>
      <c r="I65" s="4">
        <v>91.1</v>
      </c>
      <c r="J65" s="4">
        <v>1.1100000000000001</v>
      </c>
      <c r="K65" s="4">
        <v>0</v>
      </c>
      <c r="L65" s="4">
        <v>3.5</v>
      </c>
      <c r="M65" s="4">
        <v>761860.19</v>
      </c>
      <c r="N65" s="4">
        <v>133279.38</v>
      </c>
    </row>
    <row r="66" spans="1:14">
      <c r="A66" s="4" t="s">
        <v>38</v>
      </c>
      <c r="B66" s="5">
        <v>45658</v>
      </c>
      <c r="C66" s="4" t="s">
        <v>27</v>
      </c>
      <c r="D66" s="4" t="s">
        <v>18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 s="4">
        <v>1</v>
      </c>
      <c r="L66" s="4">
        <v>3.4</v>
      </c>
      <c r="M66" s="4">
        <v>784502.68</v>
      </c>
      <c r="N66" s="4">
        <v>129519.72</v>
      </c>
    </row>
    <row r="67" spans="1:14">
      <c r="A67" s="4" t="s">
        <v>38</v>
      </c>
      <c r="B67" s="5">
        <v>45689</v>
      </c>
      <c r="C67" s="4" t="s">
        <v>27</v>
      </c>
      <c r="D67" s="4" t="s">
        <v>18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 s="4">
        <v>0</v>
      </c>
      <c r="L67" s="4">
        <v>3.6</v>
      </c>
      <c r="M67" s="4">
        <v>717141.55</v>
      </c>
      <c r="N67" s="4">
        <v>134013.60999999999</v>
      </c>
    </row>
    <row r="68" spans="1:14">
      <c r="A68" s="4" t="s">
        <v>38</v>
      </c>
      <c r="B68" s="5">
        <v>45717</v>
      </c>
      <c r="C68" s="4" t="s">
        <v>27</v>
      </c>
      <c r="D68" s="4" t="s">
        <v>18</v>
      </c>
      <c r="E68" s="4">
        <v>79346.100000000006</v>
      </c>
      <c r="F68" s="4">
        <v>9628</v>
      </c>
      <c r="G68" s="4">
        <v>0.10199999999999999</v>
      </c>
      <c r="H68" s="4">
        <v>20</v>
      </c>
      <c r="I68" s="4">
        <v>99</v>
      </c>
      <c r="J68" s="4">
        <v>19.010000000000002</v>
      </c>
      <c r="K68" s="4">
        <v>1</v>
      </c>
      <c r="L68" s="4">
        <v>3.2</v>
      </c>
      <c r="M68" s="4">
        <v>685379.08</v>
      </c>
      <c r="N68" s="4">
        <v>106898.82</v>
      </c>
    </row>
    <row r="69" spans="1:14">
      <c r="A69" s="4" t="s">
        <v>38</v>
      </c>
      <c r="B69" s="5">
        <v>45748</v>
      </c>
      <c r="C69" s="4" t="s">
        <v>27</v>
      </c>
      <c r="D69" s="4" t="s">
        <v>18</v>
      </c>
      <c r="E69" s="4">
        <v>42018.400000000001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 s="4">
        <v>0</v>
      </c>
      <c r="L69" s="4">
        <v>3.4</v>
      </c>
      <c r="M69" s="4">
        <v>740496.65</v>
      </c>
      <c r="N69" s="4">
        <v>128020.9</v>
      </c>
    </row>
    <row r="70" spans="1:14">
      <c r="A70" s="4" t="s">
        <v>39</v>
      </c>
      <c r="B70" s="5">
        <v>45658</v>
      </c>
      <c r="C70" s="4" t="s">
        <v>15</v>
      </c>
      <c r="D70" s="4" t="s">
        <v>18</v>
      </c>
      <c r="E70" s="4">
        <v>70937.240000000005</v>
      </c>
      <c r="F70" s="4">
        <v>3595</v>
      </c>
      <c r="G70" s="4">
        <v>0.14099999999999999</v>
      </c>
      <c r="H70" s="4">
        <v>11</v>
      </c>
      <c r="I70" s="4">
        <v>88.9</v>
      </c>
      <c r="J70" s="4">
        <v>2.83</v>
      </c>
      <c r="K70" s="4">
        <v>1</v>
      </c>
      <c r="L70" s="4">
        <v>3.3</v>
      </c>
      <c r="M70" s="4">
        <v>661927.14</v>
      </c>
      <c r="N70" s="4">
        <v>79218.570000000007</v>
      </c>
    </row>
    <row r="71" spans="1:14">
      <c r="A71" s="4" t="s">
        <v>39</v>
      </c>
      <c r="B71" s="5">
        <v>45689</v>
      </c>
      <c r="C71" s="4" t="s">
        <v>15</v>
      </c>
      <c r="D71" s="4" t="s">
        <v>18</v>
      </c>
      <c r="E71" s="4">
        <v>36813.449999999997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 s="4">
        <v>0</v>
      </c>
      <c r="L71" s="4">
        <v>3.3</v>
      </c>
      <c r="M71" s="4">
        <v>479050.5</v>
      </c>
      <c r="N71" s="4">
        <v>53651.11</v>
      </c>
    </row>
    <row r="72" spans="1:14">
      <c r="A72" s="4" t="s">
        <v>39</v>
      </c>
      <c r="B72" s="5">
        <v>45717</v>
      </c>
      <c r="C72" s="4" t="s">
        <v>15</v>
      </c>
      <c r="D72" s="4" t="s">
        <v>18</v>
      </c>
      <c r="E72" s="4">
        <v>60571.82</v>
      </c>
      <c r="F72" s="4">
        <v>3193</v>
      </c>
      <c r="G72" s="4">
        <v>0.19700000000000001</v>
      </c>
      <c r="H72" s="4">
        <v>7</v>
      </c>
      <c r="I72" s="4">
        <v>99</v>
      </c>
      <c r="J72" s="4">
        <v>1.43</v>
      </c>
      <c r="K72" s="4">
        <v>0</v>
      </c>
      <c r="L72" s="4">
        <v>3.2</v>
      </c>
      <c r="M72" s="4">
        <v>605023.87</v>
      </c>
      <c r="N72" s="4">
        <v>98545.81</v>
      </c>
    </row>
    <row r="73" spans="1:14">
      <c r="A73" s="4" t="s">
        <v>39</v>
      </c>
      <c r="B73" s="5">
        <v>45748</v>
      </c>
      <c r="C73" s="4" t="s">
        <v>15</v>
      </c>
      <c r="D73" s="4" t="s">
        <v>18</v>
      </c>
      <c r="E73" s="4">
        <v>55081.16</v>
      </c>
      <c r="F73" s="4">
        <v>5485</v>
      </c>
      <c r="G73" s="4">
        <v>3.5999999999999997E-2</v>
      </c>
      <c r="H73" s="4">
        <v>12</v>
      </c>
      <c r="I73" s="4">
        <v>88</v>
      </c>
      <c r="J73" s="4"/>
      <c r="K73" s="4">
        <v>0</v>
      </c>
      <c r="L73" s="4">
        <v>3.5</v>
      </c>
      <c r="M73" s="4">
        <v>674774.09</v>
      </c>
      <c r="N73" s="4">
        <v>141917.59</v>
      </c>
    </row>
    <row r="74" spans="1:14">
      <c r="A74" s="4" t="s">
        <v>40</v>
      </c>
      <c r="B74" s="5">
        <v>45658</v>
      </c>
      <c r="C74" s="4" t="s">
        <v>15</v>
      </c>
      <c r="D74" s="4" t="s">
        <v>16</v>
      </c>
      <c r="E74" s="4">
        <v>46201.46</v>
      </c>
      <c r="F74" s="4">
        <v>5918</v>
      </c>
      <c r="G74" s="4">
        <v>0.27700000000000002</v>
      </c>
      <c r="H74" s="4">
        <v>13</v>
      </c>
      <c r="I74" s="4">
        <v>78.8</v>
      </c>
      <c r="J74" s="4">
        <v>4.91</v>
      </c>
      <c r="K74" s="4">
        <v>0</v>
      </c>
      <c r="L74" s="4">
        <v>4.5</v>
      </c>
      <c r="M74" s="4">
        <v>616069.41</v>
      </c>
      <c r="N74" s="4">
        <v>54453.99</v>
      </c>
    </row>
    <row r="75" spans="1:14">
      <c r="A75" s="4" t="s">
        <v>40</v>
      </c>
      <c r="B75" s="5">
        <v>45689</v>
      </c>
      <c r="C75" s="4" t="s">
        <v>15</v>
      </c>
      <c r="D75" s="4" t="s">
        <v>16</v>
      </c>
      <c r="E75" s="4">
        <v>53762.92</v>
      </c>
      <c r="F75" s="4">
        <v>6821</v>
      </c>
      <c r="G75" s="4">
        <v>6.6000000000000003E-2</v>
      </c>
      <c r="H75" s="4">
        <v>19</v>
      </c>
      <c r="I75" s="4">
        <v>94.6</v>
      </c>
      <c r="J75" s="4">
        <v>7.03</v>
      </c>
      <c r="K75" s="4">
        <v>0</v>
      </c>
      <c r="L75" s="4">
        <v>4.4000000000000004</v>
      </c>
      <c r="M75" s="4">
        <v>630829.93999999994</v>
      </c>
      <c r="N75" s="4">
        <v>117090.02</v>
      </c>
    </row>
    <row r="76" spans="1:14">
      <c r="A76" s="4" t="s">
        <v>40</v>
      </c>
      <c r="B76" s="5">
        <v>45717</v>
      </c>
      <c r="C76" s="4" t="s">
        <v>15</v>
      </c>
      <c r="D76" s="4" t="s">
        <v>16</v>
      </c>
      <c r="E76" s="4">
        <v>70144.78</v>
      </c>
      <c r="F76" s="4">
        <v>6806</v>
      </c>
      <c r="G76" s="4">
        <v>0.17799999999999999</v>
      </c>
      <c r="H76" s="4">
        <v>20</v>
      </c>
      <c r="I76" s="4">
        <v>93.1</v>
      </c>
      <c r="J76" s="4">
        <v>0.28000000000000003</v>
      </c>
      <c r="K76" s="4">
        <v>1</v>
      </c>
      <c r="L76" s="4">
        <v>4.3</v>
      </c>
      <c r="M76" s="4">
        <v>788087.68</v>
      </c>
      <c r="N76" s="4">
        <v>116803.42</v>
      </c>
    </row>
    <row r="77" spans="1:14">
      <c r="A77" s="4" t="s">
        <v>40</v>
      </c>
      <c r="B77" s="5">
        <v>45748</v>
      </c>
      <c r="C77" s="4" t="s">
        <v>15</v>
      </c>
      <c r="D77" s="4" t="s">
        <v>16</v>
      </c>
      <c r="E77" s="4">
        <v>58749.63</v>
      </c>
      <c r="F77" s="4">
        <v>8252</v>
      </c>
      <c r="G77" s="4">
        <v>0.20300000000000001</v>
      </c>
      <c r="H77" s="4">
        <v>20</v>
      </c>
      <c r="I77" s="4">
        <v>85.2</v>
      </c>
      <c r="J77" s="4">
        <v>3.61</v>
      </c>
      <c r="K77" s="4">
        <v>0</v>
      </c>
      <c r="L77" s="4">
        <v>4.5</v>
      </c>
      <c r="M77" s="4">
        <v>680840.36</v>
      </c>
      <c r="N77" s="4">
        <v>68007.679999999993</v>
      </c>
    </row>
    <row r="78" spans="1:14">
      <c r="A78" s="4" t="s">
        <v>41</v>
      </c>
      <c r="B78" s="5">
        <v>45658</v>
      </c>
      <c r="C78" s="4" t="s">
        <v>24</v>
      </c>
      <c r="D78" s="4" t="s">
        <v>18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 s="4">
        <v>1</v>
      </c>
      <c r="L78" s="4">
        <v>3.2</v>
      </c>
      <c r="M78" s="4">
        <v>643657.47</v>
      </c>
      <c r="N78" s="4">
        <v>87022.45</v>
      </c>
    </row>
    <row r="79" spans="1:14">
      <c r="A79" s="4" t="s">
        <v>41</v>
      </c>
      <c r="B79" s="5">
        <v>45689</v>
      </c>
      <c r="C79" s="4" t="s">
        <v>24</v>
      </c>
      <c r="D79" s="4" t="s">
        <v>18</v>
      </c>
      <c r="E79" s="4">
        <v>54872.82</v>
      </c>
      <c r="F79" s="4">
        <v>5962</v>
      </c>
      <c r="G79" s="4">
        <v>6.4000000000000001E-2</v>
      </c>
      <c r="H79" s="4">
        <v>12</v>
      </c>
      <c r="I79" s="4">
        <v>85.4</v>
      </c>
      <c r="J79" s="4">
        <v>2.58</v>
      </c>
      <c r="K79" s="4">
        <v>0</v>
      </c>
      <c r="L79" s="4">
        <v>2.9</v>
      </c>
      <c r="M79" s="4">
        <v>691112.6</v>
      </c>
      <c r="N79" s="4">
        <v>109212.83</v>
      </c>
    </row>
    <row r="80" spans="1:14">
      <c r="A80" s="4" t="s">
        <v>41</v>
      </c>
      <c r="B80" s="5">
        <v>45717</v>
      </c>
      <c r="C80" s="4" t="s">
        <v>24</v>
      </c>
      <c r="D80" s="4" t="s">
        <v>18</v>
      </c>
      <c r="E80" s="4">
        <v>80562.81</v>
      </c>
      <c r="F80" s="4">
        <v>7470</v>
      </c>
      <c r="G80" s="4">
        <v>0.17199999999999999</v>
      </c>
      <c r="H80" s="4">
        <v>16</v>
      </c>
      <c r="I80" s="4">
        <v>83.5</v>
      </c>
      <c r="J80" s="4">
        <v>2.29</v>
      </c>
      <c r="K80" s="4">
        <v>0</v>
      </c>
      <c r="L80" s="4">
        <v>3.3</v>
      </c>
      <c r="M80" s="4">
        <v>776922.17</v>
      </c>
      <c r="N80" s="4">
        <v>150701.93</v>
      </c>
    </row>
    <row r="81" spans="1:14">
      <c r="A81" s="4" t="s">
        <v>41</v>
      </c>
      <c r="B81" s="5">
        <v>45748</v>
      </c>
      <c r="C81" s="4" t="s">
        <v>24</v>
      </c>
      <c r="D81" s="4" t="s">
        <v>18</v>
      </c>
      <c r="E81" s="4">
        <v>77999.899999999994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 s="4">
        <v>0</v>
      </c>
      <c r="L81" s="4">
        <v>3.2</v>
      </c>
      <c r="M81" s="4">
        <v>636561.34</v>
      </c>
      <c r="N81" s="4">
        <v>93861.06</v>
      </c>
    </row>
    <row r="82" spans="1:14">
      <c r="A82" s="4" t="s">
        <v>42</v>
      </c>
      <c r="B82" s="5">
        <v>45658</v>
      </c>
      <c r="C82" s="4" t="s">
        <v>27</v>
      </c>
      <c r="D82" s="4" t="s">
        <v>28</v>
      </c>
      <c r="E82" s="4">
        <v>60881.01</v>
      </c>
      <c r="F82" s="4">
        <v>5410</v>
      </c>
      <c r="G82" s="4">
        <v>0.17899999999999999</v>
      </c>
      <c r="H82" s="4">
        <v>15</v>
      </c>
      <c r="I82" s="4">
        <v>83.9</v>
      </c>
      <c r="J82" s="4">
        <v>5.24</v>
      </c>
      <c r="K82" s="4">
        <v>0</v>
      </c>
      <c r="L82" s="4">
        <v>4.5999999999999996</v>
      </c>
      <c r="M82" s="4">
        <v>621369.57999999996</v>
      </c>
      <c r="N82" s="4">
        <v>85493.64</v>
      </c>
    </row>
    <row r="83" spans="1:14">
      <c r="A83" s="4" t="s">
        <v>42</v>
      </c>
      <c r="B83" s="5">
        <v>45689</v>
      </c>
      <c r="C83" s="4" t="s">
        <v>27</v>
      </c>
      <c r="D83" s="4" t="s">
        <v>28</v>
      </c>
      <c r="E83" s="4">
        <v>60628.38</v>
      </c>
      <c r="F83" s="4">
        <v>4451</v>
      </c>
      <c r="G83" s="4">
        <v>9.5000000000000001E-2</v>
      </c>
      <c r="H83" s="4">
        <v>10</v>
      </c>
      <c r="I83" s="4">
        <v>89.6</v>
      </c>
      <c r="J83" s="4">
        <v>3.17</v>
      </c>
      <c r="K83" s="4">
        <v>0</v>
      </c>
      <c r="L83" s="4">
        <v>4.5999999999999996</v>
      </c>
      <c r="M83" s="4">
        <v>682208.01</v>
      </c>
      <c r="N83" s="4">
        <v>110318.84</v>
      </c>
    </row>
    <row r="84" spans="1:14">
      <c r="A84" s="4" t="s">
        <v>42</v>
      </c>
      <c r="B84" s="5">
        <v>45717</v>
      </c>
      <c r="C84" s="4" t="s">
        <v>27</v>
      </c>
      <c r="D84" s="4" t="s">
        <v>28</v>
      </c>
      <c r="E84" s="4">
        <v>72731.14</v>
      </c>
      <c r="F84" s="4">
        <v>4644</v>
      </c>
      <c r="G84" s="4">
        <v>8.4000000000000005E-2</v>
      </c>
      <c r="H84" s="4">
        <v>15</v>
      </c>
      <c r="I84" s="4">
        <v>87.1</v>
      </c>
      <c r="J84" s="4">
        <v>2.66</v>
      </c>
      <c r="K84" s="4">
        <v>0</v>
      </c>
      <c r="L84" s="4">
        <v>4.5999999999999996</v>
      </c>
      <c r="M84" s="4">
        <v>727241.86</v>
      </c>
      <c r="N84" s="4">
        <v>155810.29999999999</v>
      </c>
    </row>
    <row r="85" spans="1:14">
      <c r="A85" s="4" t="s">
        <v>42</v>
      </c>
      <c r="B85" s="5">
        <v>45748</v>
      </c>
      <c r="C85" s="4" t="s">
        <v>27</v>
      </c>
      <c r="D85" s="4" t="s">
        <v>28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 s="4">
        <v>0</v>
      </c>
      <c r="L85" s="4">
        <v>4.2</v>
      </c>
      <c r="M85" s="4">
        <v>569100.78</v>
      </c>
      <c r="N85" s="4">
        <v>104808.78</v>
      </c>
    </row>
    <row r="86" spans="1:14">
      <c r="A86" s="4" t="s">
        <v>43</v>
      </c>
      <c r="B86" s="5">
        <v>45658</v>
      </c>
      <c r="C86" s="4" t="s">
        <v>27</v>
      </c>
      <c r="D86" s="4" t="s">
        <v>18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 s="4">
        <v>0</v>
      </c>
      <c r="L86" s="4">
        <v>4.9000000000000004</v>
      </c>
      <c r="M86" s="4">
        <v>574436.29</v>
      </c>
      <c r="N86" s="4">
        <v>80271.990000000005</v>
      </c>
    </row>
    <row r="87" spans="1:14">
      <c r="A87" s="4" t="s">
        <v>43</v>
      </c>
      <c r="B87" s="5">
        <v>45689</v>
      </c>
      <c r="C87" s="4" t="s">
        <v>27</v>
      </c>
      <c r="D87" s="4" t="s">
        <v>18</v>
      </c>
      <c r="E87" s="4">
        <v>88443.77</v>
      </c>
      <c r="F87" s="4">
        <v>4004</v>
      </c>
      <c r="G87" s="4">
        <v>0.20599999999999999</v>
      </c>
      <c r="H87" s="4">
        <v>11</v>
      </c>
      <c r="I87" s="4">
        <v>91.9</v>
      </c>
      <c r="J87" s="4">
        <v>5.95</v>
      </c>
      <c r="K87" s="4">
        <v>0</v>
      </c>
      <c r="L87" s="4"/>
      <c r="M87" s="4">
        <v>611766.72</v>
      </c>
      <c r="N87" s="4">
        <v>88275.61</v>
      </c>
    </row>
    <row r="88" spans="1:14">
      <c r="A88" s="4" t="s">
        <v>43</v>
      </c>
      <c r="B88" s="5">
        <v>45717</v>
      </c>
      <c r="C88" s="4" t="s">
        <v>27</v>
      </c>
      <c r="D88" s="4" t="s">
        <v>18</v>
      </c>
      <c r="E88" s="4">
        <v>78231.91</v>
      </c>
      <c r="F88" s="4">
        <v>3788</v>
      </c>
      <c r="G88" s="4">
        <v>5.8999999999999997E-2</v>
      </c>
      <c r="H88" s="4">
        <v>11</v>
      </c>
      <c r="I88" s="4">
        <v>88.5</v>
      </c>
      <c r="J88" s="4">
        <v>15.51</v>
      </c>
      <c r="K88" s="4">
        <v>0</v>
      </c>
      <c r="L88" s="4">
        <v>4.3</v>
      </c>
      <c r="M88" s="4">
        <v>614596.31999999995</v>
      </c>
      <c r="N88" s="4">
        <v>131199.41</v>
      </c>
    </row>
    <row r="89" spans="1:14">
      <c r="A89" s="4" t="s">
        <v>43</v>
      </c>
      <c r="B89" s="5">
        <v>45748</v>
      </c>
      <c r="C89" s="4" t="s">
        <v>27</v>
      </c>
      <c r="D89" s="4" t="s">
        <v>18</v>
      </c>
      <c r="E89" s="4">
        <v>18996.32</v>
      </c>
      <c r="F89" s="4">
        <v>1260</v>
      </c>
      <c r="G89" s="4">
        <v>0.14499999999999999</v>
      </c>
      <c r="H89" s="4">
        <v>9</v>
      </c>
      <c r="I89" s="4">
        <v>86.4</v>
      </c>
      <c r="J89" s="4">
        <v>4.3099999999999996</v>
      </c>
      <c r="K89" s="4">
        <v>0</v>
      </c>
      <c r="L89" s="4">
        <v>4.5999999999999996</v>
      </c>
      <c r="M89" s="4">
        <v>450711.92</v>
      </c>
      <c r="N89" s="4">
        <v>90043.76</v>
      </c>
    </row>
    <row r="90" spans="1:14">
      <c r="A90" s="4" t="s">
        <v>44</v>
      </c>
      <c r="B90" s="5">
        <v>45658</v>
      </c>
      <c r="C90" s="4" t="s">
        <v>24</v>
      </c>
      <c r="D90" s="4" t="s">
        <v>28</v>
      </c>
      <c r="E90" s="4">
        <v>50517.94</v>
      </c>
      <c r="F90" s="4">
        <v>7024</v>
      </c>
      <c r="G90" s="4">
        <v>2.9000000000000001E-2</v>
      </c>
      <c r="H90" s="4">
        <v>18</v>
      </c>
      <c r="I90" s="4">
        <v>79.2</v>
      </c>
      <c r="J90" s="4">
        <v>6.61</v>
      </c>
      <c r="K90" s="4">
        <v>1</v>
      </c>
      <c r="L90" s="4">
        <v>4.0999999999999996</v>
      </c>
      <c r="M90" s="4">
        <v>711213.46</v>
      </c>
      <c r="N90" s="4">
        <v>105863.26</v>
      </c>
    </row>
    <row r="91" spans="1:14">
      <c r="A91" s="4" t="s">
        <v>44</v>
      </c>
      <c r="B91" s="5">
        <v>45689</v>
      </c>
      <c r="C91" s="4" t="s">
        <v>24</v>
      </c>
      <c r="D91" s="4" t="s">
        <v>28</v>
      </c>
      <c r="E91" s="4">
        <v>141540.29</v>
      </c>
      <c r="F91" s="4">
        <v>5400</v>
      </c>
      <c r="G91" s="4">
        <v>1.2999999999999999E-2</v>
      </c>
      <c r="H91" s="4">
        <v>12</v>
      </c>
      <c r="I91" s="4">
        <v>87</v>
      </c>
      <c r="J91" s="4">
        <v>4.26</v>
      </c>
      <c r="K91" s="4">
        <v>0</v>
      </c>
      <c r="L91" s="4">
        <v>4.5</v>
      </c>
      <c r="M91" s="4">
        <v>627171.9</v>
      </c>
      <c r="N91" s="4">
        <v>105772.75</v>
      </c>
    </row>
    <row r="92" spans="1:14">
      <c r="A92" s="4" t="s">
        <v>44</v>
      </c>
      <c r="B92" s="5">
        <v>45717</v>
      </c>
      <c r="C92" s="4" t="s">
        <v>24</v>
      </c>
      <c r="D92" s="4" t="s">
        <v>28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 s="4">
        <v>0</v>
      </c>
      <c r="L92" s="4">
        <v>4.7</v>
      </c>
      <c r="M92" s="4">
        <v>739852.58</v>
      </c>
      <c r="N92" s="4">
        <v>129386.43</v>
      </c>
    </row>
    <row r="93" spans="1:14">
      <c r="A93" s="4" t="s">
        <v>44</v>
      </c>
      <c r="B93" s="5">
        <v>45748</v>
      </c>
      <c r="C93" s="4" t="s">
        <v>24</v>
      </c>
      <c r="D93" s="4" t="s">
        <v>28</v>
      </c>
      <c r="E93" s="4">
        <v>31207.51</v>
      </c>
      <c r="F93" s="4">
        <v>3701</v>
      </c>
      <c r="G93" s="4">
        <v>4.2999999999999997E-2</v>
      </c>
      <c r="H93" s="4">
        <v>11</v>
      </c>
      <c r="I93" s="4">
        <v>84.7</v>
      </c>
      <c r="J93" s="4">
        <v>0.33</v>
      </c>
      <c r="K93" s="4">
        <v>0</v>
      </c>
      <c r="L93" s="4">
        <v>4.3</v>
      </c>
      <c r="M93" s="4">
        <v>586307.22</v>
      </c>
      <c r="N93" s="4">
        <v>73927.850000000006</v>
      </c>
    </row>
    <row r="94" spans="1:14">
      <c r="A94" s="4" t="s">
        <v>45</v>
      </c>
      <c r="B94" s="5">
        <v>45658</v>
      </c>
      <c r="C94" s="4" t="s">
        <v>27</v>
      </c>
      <c r="D94" s="4" t="s">
        <v>16</v>
      </c>
      <c r="E94" s="4">
        <v>38966.589999999997</v>
      </c>
      <c r="F94" s="4">
        <v>4509</v>
      </c>
      <c r="G94" s="4">
        <v>0.19400000000000001</v>
      </c>
      <c r="H94" s="4">
        <v>14</v>
      </c>
      <c r="I94" s="4">
        <v>91.1</v>
      </c>
      <c r="J94" s="4">
        <v>2.92</v>
      </c>
      <c r="K94" s="4">
        <v>0</v>
      </c>
      <c r="L94" s="4">
        <v>4.5999999999999996</v>
      </c>
      <c r="M94" s="4">
        <v>585937.48</v>
      </c>
      <c r="N94" s="4">
        <v>82624.2</v>
      </c>
    </row>
    <row r="95" spans="1:14">
      <c r="A95" s="4" t="s">
        <v>45</v>
      </c>
      <c r="B95" s="5">
        <v>45689</v>
      </c>
      <c r="C95" s="4" t="s">
        <v>27</v>
      </c>
      <c r="D95" s="4" t="s">
        <v>16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 s="4">
        <v>0</v>
      </c>
      <c r="L95" s="4">
        <v>4.5</v>
      </c>
      <c r="M95" s="4">
        <v>753473.55</v>
      </c>
      <c r="N95" s="4">
        <v>151527.22</v>
      </c>
    </row>
    <row r="96" spans="1:14">
      <c r="A96" s="4" t="s">
        <v>45</v>
      </c>
      <c r="B96" s="5">
        <v>45717</v>
      </c>
      <c r="C96" s="4" t="s">
        <v>27</v>
      </c>
      <c r="D96" s="4" t="s">
        <v>16</v>
      </c>
      <c r="E96" s="4">
        <v>86421.88</v>
      </c>
      <c r="F96" s="4">
        <v>7970</v>
      </c>
      <c r="G96" s="4">
        <v>7.2999999999999995E-2</v>
      </c>
      <c r="H96" s="4">
        <v>17</v>
      </c>
      <c r="I96" s="4">
        <v>91.3</v>
      </c>
      <c r="J96" s="4">
        <v>0.8</v>
      </c>
      <c r="K96" s="4">
        <v>0</v>
      </c>
      <c r="L96" s="4">
        <v>5</v>
      </c>
      <c r="M96" s="4">
        <v>838250.32</v>
      </c>
      <c r="N96" s="4">
        <v>122939.34</v>
      </c>
    </row>
    <row r="97" spans="1:14">
      <c r="A97" s="4" t="s">
        <v>45</v>
      </c>
      <c r="B97" s="5">
        <v>45748</v>
      </c>
      <c r="C97" s="4" t="s">
        <v>27</v>
      </c>
      <c r="D97" s="4" t="s">
        <v>16</v>
      </c>
      <c r="E97" s="4">
        <v>9534.65</v>
      </c>
      <c r="F97" s="4">
        <v>6057</v>
      </c>
      <c r="G97" s="4">
        <v>7.3999999999999996E-2</v>
      </c>
      <c r="H97" s="4">
        <v>15</v>
      </c>
      <c r="I97" s="4">
        <v>94.1</v>
      </c>
      <c r="J97" s="4">
        <v>5.79</v>
      </c>
      <c r="K97" s="4">
        <v>0</v>
      </c>
      <c r="L97" s="4">
        <v>4.5</v>
      </c>
      <c r="M97" s="4">
        <v>607898.12</v>
      </c>
      <c r="N97" s="4">
        <v>135404.85</v>
      </c>
    </row>
    <row r="98" spans="1:14">
      <c r="A98" s="4" t="s">
        <v>46</v>
      </c>
      <c r="B98" s="5">
        <v>45658</v>
      </c>
      <c r="C98" s="4" t="s">
        <v>27</v>
      </c>
      <c r="D98" s="4" t="s">
        <v>28</v>
      </c>
      <c r="E98" s="4">
        <v>61132.07</v>
      </c>
      <c r="F98" s="4">
        <v>6394</v>
      </c>
      <c r="G98" s="4">
        <v>0.16300000000000001</v>
      </c>
      <c r="H98" s="4">
        <v>19</v>
      </c>
      <c r="I98" s="4">
        <v>91</v>
      </c>
      <c r="J98" s="4">
        <v>19.600000000000001</v>
      </c>
      <c r="K98" s="4">
        <v>0</v>
      </c>
      <c r="L98" s="4">
        <v>4.4000000000000004</v>
      </c>
      <c r="M98" s="4">
        <v>691113.62</v>
      </c>
      <c r="N98" s="4">
        <v>135145.44</v>
      </c>
    </row>
    <row r="99" spans="1:14">
      <c r="A99" s="4" t="s">
        <v>46</v>
      </c>
      <c r="B99" s="5">
        <v>45689</v>
      </c>
      <c r="C99" s="4" t="s">
        <v>27</v>
      </c>
      <c r="D99" s="4" t="s">
        <v>28</v>
      </c>
      <c r="E99" s="4">
        <v>78839.39</v>
      </c>
      <c r="F99" s="4">
        <v>5150</v>
      </c>
      <c r="G99" s="4">
        <v>0.17100000000000001</v>
      </c>
      <c r="H99" s="4">
        <v>13</v>
      </c>
      <c r="I99" s="4">
        <v>85.8</v>
      </c>
      <c r="J99" s="4">
        <v>7.57</v>
      </c>
      <c r="K99" s="4">
        <v>0</v>
      </c>
      <c r="L99" s="4">
        <v>4.3</v>
      </c>
      <c r="M99" s="4">
        <v>735509.4</v>
      </c>
      <c r="N99" s="4">
        <v>83895.96</v>
      </c>
    </row>
    <row r="100" spans="1:14">
      <c r="A100" s="4" t="s">
        <v>46</v>
      </c>
      <c r="B100" s="5">
        <v>45717</v>
      </c>
      <c r="C100" s="4" t="s">
        <v>27</v>
      </c>
      <c r="D100" s="4" t="s">
        <v>28</v>
      </c>
      <c r="E100" s="4">
        <v>38752.800000000003</v>
      </c>
      <c r="F100" s="4">
        <v>4712</v>
      </c>
      <c r="G100" s="4">
        <v>7.4999999999999997E-2</v>
      </c>
      <c r="H100" s="4">
        <v>15</v>
      </c>
      <c r="I100" s="4">
        <v>89.7</v>
      </c>
      <c r="J100" s="4"/>
      <c r="K100" s="4">
        <v>0</v>
      </c>
      <c r="L100" s="4">
        <v>4.3</v>
      </c>
      <c r="M100" s="4">
        <v>605775.32999999996</v>
      </c>
      <c r="N100" s="4">
        <v>107194.6</v>
      </c>
    </row>
    <row r="101" spans="1:14">
      <c r="A101" s="4" t="s">
        <v>46</v>
      </c>
      <c r="B101" s="5">
        <v>45748</v>
      </c>
      <c r="C101" s="4" t="s">
        <v>27</v>
      </c>
      <c r="D101" s="4" t="s">
        <v>28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 s="4">
        <v>0</v>
      </c>
      <c r="L101" s="4">
        <v>4.4000000000000004</v>
      </c>
      <c r="M101" s="4">
        <v>675177.68</v>
      </c>
      <c r="N101" s="4">
        <v>105628.68</v>
      </c>
    </row>
    <row r="102" spans="1:14">
      <c r="A102" s="4" t="s">
        <v>47</v>
      </c>
      <c r="B102" s="5">
        <v>45658</v>
      </c>
      <c r="C102" s="4" t="s">
        <v>15</v>
      </c>
      <c r="D102" s="4" t="s">
        <v>28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 s="4">
        <v>0</v>
      </c>
      <c r="L102" s="4">
        <v>4.4000000000000004</v>
      </c>
      <c r="M102" s="4">
        <v>635181.35</v>
      </c>
      <c r="N102" s="4">
        <v>83341.25</v>
      </c>
    </row>
    <row r="103" spans="1:14">
      <c r="A103" s="4" t="s">
        <v>47</v>
      </c>
      <c r="B103" s="5">
        <v>45689</v>
      </c>
      <c r="C103" s="4" t="s">
        <v>15</v>
      </c>
      <c r="D103" s="4" t="s">
        <v>28</v>
      </c>
      <c r="E103" s="4">
        <v>63101.59</v>
      </c>
      <c r="F103" s="4">
        <v>4373</v>
      </c>
      <c r="G103" s="4">
        <v>0.17299999999999999</v>
      </c>
      <c r="H103" s="4">
        <v>14</v>
      </c>
      <c r="I103" s="4">
        <v>90.4</v>
      </c>
      <c r="J103" s="4">
        <v>7.87</v>
      </c>
      <c r="K103" s="4">
        <v>0</v>
      </c>
      <c r="L103" s="4">
        <v>4.7</v>
      </c>
      <c r="M103" s="4">
        <v>586626.93999999994</v>
      </c>
      <c r="N103" s="4">
        <v>86498.55</v>
      </c>
    </row>
    <row r="104" spans="1:14">
      <c r="A104" s="4" t="s">
        <v>47</v>
      </c>
      <c r="B104" s="5">
        <v>45717</v>
      </c>
      <c r="C104" s="4" t="s">
        <v>15</v>
      </c>
      <c r="D104" s="4" t="s">
        <v>28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 s="4">
        <v>1</v>
      </c>
      <c r="L104" s="4">
        <v>4.4000000000000004</v>
      </c>
      <c r="M104" s="4">
        <v>740102.64</v>
      </c>
      <c r="N104" s="4">
        <v>114299.07</v>
      </c>
    </row>
    <row r="105" spans="1:14">
      <c r="A105" s="4" t="s">
        <v>47</v>
      </c>
      <c r="B105" s="5">
        <v>45748</v>
      </c>
      <c r="C105" s="4" t="s">
        <v>15</v>
      </c>
      <c r="D105" s="4" t="s">
        <v>28</v>
      </c>
      <c r="E105" s="4">
        <v>32266.639999999999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 s="4">
        <v>0</v>
      </c>
      <c r="L105" s="4">
        <v>5</v>
      </c>
      <c r="M105" s="4">
        <v>625514.04</v>
      </c>
      <c r="N105" s="4">
        <v>120685.08</v>
      </c>
    </row>
    <row r="106" spans="1:14">
      <c r="A106" s="4" t="s">
        <v>48</v>
      </c>
      <c r="B106" s="5">
        <v>45658</v>
      </c>
      <c r="C106" s="4" t="s">
        <v>27</v>
      </c>
      <c r="D106" s="4" t="s">
        <v>18</v>
      </c>
      <c r="E106" s="4">
        <v>57919.07</v>
      </c>
      <c r="F106" s="4">
        <v>7374</v>
      </c>
      <c r="G106" s="4">
        <v>0.10299999999999999</v>
      </c>
      <c r="H106" s="4">
        <v>21</v>
      </c>
      <c r="I106" s="4">
        <v>82.3</v>
      </c>
      <c r="J106" s="4">
        <v>2.87</v>
      </c>
      <c r="K106" s="4">
        <v>0</v>
      </c>
      <c r="L106" s="4">
        <v>2.9</v>
      </c>
      <c r="M106" s="4">
        <v>727227.2</v>
      </c>
      <c r="N106" s="4">
        <v>121292.01</v>
      </c>
    </row>
    <row r="107" spans="1:14">
      <c r="A107" s="4" t="s">
        <v>48</v>
      </c>
      <c r="B107" s="5">
        <v>45689</v>
      </c>
      <c r="C107" s="4" t="s">
        <v>27</v>
      </c>
      <c r="D107" s="4" t="s">
        <v>18</v>
      </c>
      <c r="E107" s="4">
        <v>74679.350000000006</v>
      </c>
      <c r="F107" s="4">
        <v>8739</v>
      </c>
      <c r="G107" s="4">
        <v>5.6000000000000001E-2</v>
      </c>
      <c r="H107" s="4">
        <v>21</v>
      </c>
      <c r="I107" s="4">
        <v>91.8</v>
      </c>
      <c r="J107" s="4">
        <v>2.83</v>
      </c>
      <c r="K107" s="4">
        <v>0</v>
      </c>
      <c r="L107" s="4">
        <v>3</v>
      </c>
      <c r="M107" s="4">
        <v>783797.89</v>
      </c>
      <c r="N107" s="4">
        <v>157620.70000000001</v>
      </c>
    </row>
    <row r="108" spans="1:14">
      <c r="A108" s="4" t="s">
        <v>48</v>
      </c>
      <c r="B108" s="5">
        <v>45717</v>
      </c>
      <c r="C108" s="4" t="s">
        <v>27</v>
      </c>
      <c r="D108" s="4" t="s">
        <v>18</v>
      </c>
      <c r="E108" s="4">
        <v>64294.23</v>
      </c>
      <c r="F108" s="4">
        <v>6992</v>
      </c>
      <c r="G108" s="4">
        <v>0.13300000000000001</v>
      </c>
      <c r="H108" s="4">
        <v>14</v>
      </c>
      <c r="I108" s="4">
        <v>94.1</v>
      </c>
      <c r="J108" s="4">
        <v>0.25</v>
      </c>
      <c r="K108" s="4">
        <v>0</v>
      </c>
      <c r="L108" s="4">
        <v>3</v>
      </c>
      <c r="M108" s="4">
        <v>795153.84</v>
      </c>
      <c r="N108" s="4">
        <v>143194.21</v>
      </c>
    </row>
    <row r="109" spans="1:14">
      <c r="A109" s="4" t="s">
        <v>48</v>
      </c>
      <c r="B109" s="5">
        <v>45748</v>
      </c>
      <c r="C109" s="4" t="s">
        <v>27</v>
      </c>
      <c r="D109" s="4" t="s">
        <v>18</v>
      </c>
      <c r="E109" s="4">
        <v>31042.03</v>
      </c>
      <c r="F109" s="4">
        <v>7107</v>
      </c>
      <c r="G109" s="4">
        <v>5.0999999999999997E-2</v>
      </c>
      <c r="H109" s="4">
        <v>15</v>
      </c>
      <c r="I109" s="4">
        <v>87</v>
      </c>
      <c r="J109" s="4">
        <v>13.33</v>
      </c>
      <c r="K109" s="4">
        <v>0</v>
      </c>
      <c r="L109" s="4">
        <v>3.2</v>
      </c>
      <c r="M109" s="4">
        <v>665594.93999999994</v>
      </c>
      <c r="N109" s="4">
        <v>127597.34</v>
      </c>
    </row>
    <row r="110" spans="1:14">
      <c r="A110" s="4" t="s">
        <v>49</v>
      </c>
      <c r="B110" s="5">
        <v>45658</v>
      </c>
      <c r="C110" s="4" t="s">
        <v>15</v>
      </c>
      <c r="D110" s="4" t="s">
        <v>28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 s="4">
        <v>1</v>
      </c>
      <c r="L110" s="4">
        <v>3.8</v>
      </c>
      <c r="M110" s="4">
        <v>709478.39</v>
      </c>
      <c r="N110" s="4">
        <v>71294.27</v>
      </c>
    </row>
    <row r="111" spans="1:14">
      <c r="A111" s="4" t="s">
        <v>49</v>
      </c>
      <c r="B111" s="5">
        <v>45689</v>
      </c>
      <c r="C111" s="4" t="s">
        <v>15</v>
      </c>
      <c r="D111" s="4" t="s">
        <v>28</v>
      </c>
      <c r="E111" s="4">
        <v>69411.7</v>
      </c>
      <c r="F111" s="4">
        <v>5493</v>
      </c>
      <c r="G111" s="4">
        <v>0.29199999999999998</v>
      </c>
      <c r="H111" s="4">
        <v>13</v>
      </c>
      <c r="I111" s="4">
        <v>86.5</v>
      </c>
      <c r="J111" s="4">
        <v>6.69</v>
      </c>
      <c r="K111" s="4">
        <v>0</v>
      </c>
      <c r="L111" s="4">
        <v>3.8</v>
      </c>
      <c r="M111" s="4">
        <v>664162.49</v>
      </c>
      <c r="N111" s="4">
        <v>98291.06</v>
      </c>
    </row>
    <row r="112" spans="1:14">
      <c r="A112" s="4" t="s">
        <v>49</v>
      </c>
      <c r="B112" s="5">
        <v>45717</v>
      </c>
      <c r="C112" s="4" t="s">
        <v>15</v>
      </c>
      <c r="D112" s="4" t="s">
        <v>28</v>
      </c>
      <c r="E112" s="4">
        <v>51056.15</v>
      </c>
      <c r="F112" s="4">
        <v>5686</v>
      </c>
      <c r="G112" s="4">
        <v>8.8999999999999996E-2</v>
      </c>
      <c r="H112" s="4">
        <v>13</v>
      </c>
      <c r="I112" s="4">
        <v>89.9</v>
      </c>
      <c r="J112" s="4">
        <v>1.28</v>
      </c>
      <c r="K112" s="4">
        <v>0</v>
      </c>
      <c r="L112" s="4">
        <v>4.2</v>
      </c>
      <c r="M112" s="4">
        <v>633494.21</v>
      </c>
      <c r="N112" s="4">
        <v>105739.47</v>
      </c>
    </row>
    <row r="113" spans="1:14">
      <c r="A113" s="4" t="s">
        <v>49</v>
      </c>
      <c r="B113" s="5">
        <v>45748</v>
      </c>
      <c r="C113" s="4" t="s">
        <v>15</v>
      </c>
      <c r="D113" s="4" t="s">
        <v>28</v>
      </c>
      <c r="E113" s="4">
        <v>52758.01</v>
      </c>
      <c r="F113" s="4">
        <v>4063</v>
      </c>
      <c r="G113" s="4">
        <v>5.7000000000000002E-2</v>
      </c>
      <c r="H113" s="4">
        <v>12</v>
      </c>
      <c r="I113" s="4">
        <v>91.7</v>
      </c>
      <c r="J113" s="4">
        <v>0.92</v>
      </c>
      <c r="K113" s="4">
        <v>0</v>
      </c>
      <c r="L113" s="4">
        <v>3.5</v>
      </c>
      <c r="M113" s="4">
        <v>713611.16</v>
      </c>
      <c r="N113" s="4">
        <v>129717.18</v>
      </c>
    </row>
    <row r="114" spans="1:14">
      <c r="A114" s="4" t="s">
        <v>50</v>
      </c>
      <c r="B114" s="5">
        <v>45658</v>
      </c>
      <c r="C114" s="4" t="s">
        <v>27</v>
      </c>
      <c r="D114" s="4" t="s">
        <v>28</v>
      </c>
      <c r="E114" s="4">
        <v>61426.04</v>
      </c>
      <c r="F114" s="4">
        <v>8966</v>
      </c>
      <c r="G114" s="4">
        <v>0.17299999999999999</v>
      </c>
      <c r="H114" s="4">
        <v>22</v>
      </c>
      <c r="I114" s="4">
        <v>76.400000000000006</v>
      </c>
      <c r="J114" s="4">
        <v>1.05</v>
      </c>
      <c r="K114" s="4">
        <v>0</v>
      </c>
      <c r="L114" s="4">
        <v>3.1</v>
      </c>
      <c r="M114" s="4">
        <v>778397.97</v>
      </c>
      <c r="N114" s="4">
        <v>120044.41</v>
      </c>
    </row>
    <row r="115" spans="1:14">
      <c r="A115" s="4" t="s">
        <v>50</v>
      </c>
      <c r="B115" s="5">
        <v>45689</v>
      </c>
      <c r="C115" s="4" t="s">
        <v>27</v>
      </c>
      <c r="D115" s="4" t="s">
        <v>28</v>
      </c>
      <c r="E115" s="4">
        <v>80176.34</v>
      </c>
      <c r="F115" s="4">
        <v>9489</v>
      </c>
      <c r="G115" s="4">
        <v>0.14199999999999999</v>
      </c>
      <c r="H115" s="4">
        <v>22</v>
      </c>
      <c r="I115" s="4">
        <v>94.3</v>
      </c>
      <c r="J115" s="4">
        <v>2.67</v>
      </c>
      <c r="K115" s="4">
        <v>0</v>
      </c>
      <c r="L115" s="4">
        <v>3.5</v>
      </c>
      <c r="M115" s="4">
        <v>873380.02</v>
      </c>
      <c r="N115" s="4">
        <v>149734.76</v>
      </c>
    </row>
    <row r="116" spans="1:14">
      <c r="A116" s="4" t="s">
        <v>50</v>
      </c>
      <c r="B116" s="5">
        <v>45717</v>
      </c>
      <c r="C116" s="4" t="s">
        <v>27</v>
      </c>
      <c r="D116" s="4" t="s">
        <v>28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 s="4">
        <v>0</v>
      </c>
      <c r="L116" s="4">
        <v>2.8</v>
      </c>
      <c r="M116" s="4">
        <v>697287.9</v>
      </c>
      <c r="N116" s="4">
        <v>128208.33</v>
      </c>
    </row>
    <row r="117" spans="1:14">
      <c r="A117" s="4" t="s">
        <v>50</v>
      </c>
      <c r="B117" s="5">
        <v>45748</v>
      </c>
      <c r="C117" s="4" t="s">
        <v>27</v>
      </c>
      <c r="D117" s="4" t="s">
        <v>28</v>
      </c>
      <c r="E117" s="4">
        <v>25990.54</v>
      </c>
      <c r="F117" s="4">
        <v>9249</v>
      </c>
      <c r="G117" s="4">
        <v>0.13900000000000001</v>
      </c>
      <c r="H117" s="4">
        <v>23</v>
      </c>
      <c r="I117" s="4">
        <v>92.5</v>
      </c>
      <c r="J117" s="4">
        <v>6.37</v>
      </c>
      <c r="K117" s="4">
        <v>0</v>
      </c>
      <c r="L117" s="4">
        <v>3.3</v>
      </c>
      <c r="M117" s="4">
        <v>718074.79</v>
      </c>
      <c r="N117" s="4">
        <v>115819.87</v>
      </c>
    </row>
    <row r="118" spans="1:14">
      <c r="A118" s="4" t="s">
        <v>51</v>
      </c>
      <c r="B118" s="5">
        <v>45658</v>
      </c>
      <c r="C118" s="4" t="s">
        <v>27</v>
      </c>
      <c r="D118" s="4" t="s">
        <v>16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2.4900000000000002</v>
      </c>
      <c r="K118" s="4">
        <v>1</v>
      </c>
      <c r="L118" s="4">
        <v>4.7</v>
      </c>
      <c r="M118" s="4">
        <v>714942.43</v>
      </c>
      <c r="N118" s="4">
        <v>94697.71</v>
      </c>
    </row>
    <row r="119" spans="1:14">
      <c r="A119" s="4" t="s">
        <v>51</v>
      </c>
      <c r="B119" s="5">
        <v>45689</v>
      </c>
      <c r="C119" s="4" t="s">
        <v>27</v>
      </c>
      <c r="D119" s="4" t="s">
        <v>16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 s="4">
        <v>0</v>
      </c>
      <c r="L119" s="4">
        <v>4.7</v>
      </c>
      <c r="M119" s="4">
        <v>820519.04</v>
      </c>
      <c r="N119" s="4">
        <v>99035.88</v>
      </c>
    </row>
    <row r="120" spans="1:14">
      <c r="A120" s="4" t="s">
        <v>51</v>
      </c>
      <c r="B120" s="5">
        <v>45717</v>
      </c>
      <c r="C120" s="4" t="s">
        <v>27</v>
      </c>
      <c r="D120" s="4" t="s">
        <v>16</v>
      </c>
      <c r="E120" s="4">
        <v>42415.47</v>
      </c>
      <c r="F120" s="4">
        <v>8512</v>
      </c>
      <c r="G120" s="4">
        <v>0.13300000000000001</v>
      </c>
      <c r="H120" s="4">
        <v>18</v>
      </c>
      <c r="I120" s="4">
        <v>96.8</v>
      </c>
      <c r="J120" s="4">
        <v>14.95</v>
      </c>
      <c r="K120" s="4">
        <v>0</v>
      </c>
      <c r="L120" s="4">
        <v>4.5999999999999996</v>
      </c>
      <c r="M120" s="4">
        <v>684217.32</v>
      </c>
      <c r="N120" s="4">
        <v>136217.19</v>
      </c>
    </row>
    <row r="121" spans="1:14">
      <c r="A121" s="4" t="s">
        <v>51</v>
      </c>
      <c r="B121" s="5">
        <v>45748</v>
      </c>
      <c r="C121" s="4" t="s">
        <v>27</v>
      </c>
      <c r="D121" s="4" t="s">
        <v>16</v>
      </c>
      <c r="E121" s="4">
        <v>54968.98</v>
      </c>
      <c r="F121" s="4">
        <v>7816</v>
      </c>
      <c r="G121" s="4">
        <v>0.23200000000000001</v>
      </c>
      <c r="H121" s="4">
        <v>19</v>
      </c>
      <c r="I121" s="4">
        <v>95.7</v>
      </c>
      <c r="J121" s="4">
        <v>7.85</v>
      </c>
      <c r="K121" s="4">
        <v>0</v>
      </c>
      <c r="L121" s="4">
        <v>4.7</v>
      </c>
      <c r="M121" s="4">
        <v>735480.19</v>
      </c>
      <c r="N121" s="4">
        <v>88342.11</v>
      </c>
    </row>
    <row r="122" spans="1:14">
      <c r="A122" s="4" t="s">
        <v>52</v>
      </c>
      <c r="B122" s="5">
        <v>45658</v>
      </c>
      <c r="C122" s="4" t="s">
        <v>20</v>
      </c>
      <c r="D122" s="4" t="s">
        <v>18</v>
      </c>
      <c r="E122" s="4">
        <v>43896.13</v>
      </c>
      <c r="F122" s="4">
        <v>3853</v>
      </c>
      <c r="G122" s="4">
        <v>8.7999999999999995E-2</v>
      </c>
      <c r="H122" s="4">
        <v>13</v>
      </c>
      <c r="I122" s="4">
        <v>83</v>
      </c>
      <c r="J122" s="4">
        <v>6.8</v>
      </c>
      <c r="K122" s="4">
        <v>0</v>
      </c>
      <c r="L122" s="4">
        <v>4.4000000000000004</v>
      </c>
      <c r="M122" s="4">
        <v>509484.81</v>
      </c>
      <c r="N122" s="4">
        <v>85742.36</v>
      </c>
    </row>
    <row r="123" spans="1:14">
      <c r="A123" s="4" t="s">
        <v>52</v>
      </c>
      <c r="B123" s="5">
        <v>45689</v>
      </c>
      <c r="C123" s="4" t="s">
        <v>20</v>
      </c>
      <c r="D123" s="4" t="s">
        <v>18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2.2000000000000002</v>
      </c>
      <c r="K123" s="4">
        <v>0</v>
      </c>
      <c r="L123" s="4">
        <v>3.7</v>
      </c>
      <c r="M123" s="4">
        <v>654317.09</v>
      </c>
      <c r="N123" s="4">
        <v>121446.89</v>
      </c>
    </row>
    <row r="124" spans="1:14">
      <c r="A124" s="4" t="s">
        <v>52</v>
      </c>
      <c r="B124" s="5">
        <v>45717</v>
      </c>
      <c r="C124" s="4" t="s">
        <v>20</v>
      </c>
      <c r="D124" s="4" t="s">
        <v>18</v>
      </c>
      <c r="E124" s="4">
        <v>48396.13</v>
      </c>
      <c r="F124" s="4">
        <v>4423</v>
      </c>
      <c r="G124" s="4">
        <v>6.9000000000000006E-2</v>
      </c>
      <c r="H124" s="4">
        <v>15</v>
      </c>
      <c r="I124" s="4">
        <v>85.7</v>
      </c>
      <c r="J124" s="4">
        <v>1.88</v>
      </c>
      <c r="K124" s="4">
        <v>0</v>
      </c>
      <c r="L124" s="4">
        <v>3.9</v>
      </c>
      <c r="M124" s="4">
        <v>557487.26</v>
      </c>
      <c r="N124" s="4">
        <v>76432.19</v>
      </c>
    </row>
    <row r="125" spans="1:14">
      <c r="A125" s="4" t="s">
        <v>52</v>
      </c>
      <c r="B125" s="5">
        <v>45748</v>
      </c>
      <c r="C125" s="4" t="s">
        <v>20</v>
      </c>
      <c r="D125" s="4" t="s">
        <v>18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 s="4">
        <v>0</v>
      </c>
      <c r="L125" s="4">
        <v>4.4000000000000004</v>
      </c>
      <c r="M125" s="4">
        <v>441275.42</v>
      </c>
      <c r="N125" s="4">
        <v>58234.87</v>
      </c>
    </row>
    <row r="126" spans="1:14">
      <c r="A126" s="4" t="s">
        <v>53</v>
      </c>
      <c r="B126" s="5">
        <v>45658</v>
      </c>
      <c r="C126" s="4" t="s">
        <v>24</v>
      </c>
      <c r="D126" s="4" t="s">
        <v>18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 s="4">
        <v>1</v>
      </c>
      <c r="L126" s="4">
        <v>4.8</v>
      </c>
      <c r="M126" s="4">
        <v>914544.17</v>
      </c>
      <c r="N126" s="4">
        <v>79831.73</v>
      </c>
    </row>
    <row r="127" spans="1:14">
      <c r="A127" s="4" t="s">
        <v>53</v>
      </c>
      <c r="B127" s="5">
        <v>45689</v>
      </c>
      <c r="C127" s="4" t="s">
        <v>24</v>
      </c>
      <c r="D127" s="4" t="s">
        <v>18</v>
      </c>
      <c r="E127" s="4">
        <v>44747</v>
      </c>
      <c r="F127" s="4">
        <v>11076</v>
      </c>
      <c r="G127" s="4">
        <v>0.17599999999999999</v>
      </c>
      <c r="H127" s="4">
        <v>27</v>
      </c>
      <c r="I127" s="4">
        <v>98.3</v>
      </c>
      <c r="J127" s="4">
        <v>0.54</v>
      </c>
      <c r="K127" s="4">
        <v>0</v>
      </c>
      <c r="L127" s="4">
        <v>4.4000000000000004</v>
      </c>
      <c r="M127" s="4">
        <v>842439.67</v>
      </c>
      <c r="N127" s="4">
        <v>169983.63</v>
      </c>
    </row>
    <row r="128" spans="1:14">
      <c r="A128" s="4" t="s">
        <v>53</v>
      </c>
      <c r="B128" s="5">
        <v>45717</v>
      </c>
      <c r="C128" s="4" t="s">
        <v>24</v>
      </c>
      <c r="D128" s="4" t="s">
        <v>18</v>
      </c>
      <c r="E128" s="4">
        <v>56517.9</v>
      </c>
      <c r="F128" s="4">
        <v>9574</v>
      </c>
      <c r="G128" s="4">
        <v>0.20399999999999999</v>
      </c>
      <c r="H128" s="4">
        <v>20</v>
      </c>
      <c r="I128" s="4">
        <v>88.2</v>
      </c>
      <c r="J128" s="4">
        <v>5.37</v>
      </c>
      <c r="K128" s="4">
        <v>1</v>
      </c>
      <c r="L128" s="4">
        <v>4.9000000000000004</v>
      </c>
      <c r="M128" s="4">
        <v>842157.92</v>
      </c>
      <c r="N128" s="4">
        <v>107348.22</v>
      </c>
    </row>
    <row r="129" spans="1:14">
      <c r="A129" s="4" t="s">
        <v>53</v>
      </c>
      <c r="B129" s="5">
        <v>45748</v>
      </c>
      <c r="C129" s="4" t="s">
        <v>24</v>
      </c>
      <c r="D129" s="4" t="s">
        <v>18</v>
      </c>
      <c r="E129" s="4">
        <v>37828.5</v>
      </c>
      <c r="F129" s="4">
        <v>8221</v>
      </c>
      <c r="G129" s="4">
        <v>9.6000000000000002E-2</v>
      </c>
      <c r="H129" s="4">
        <v>19</v>
      </c>
      <c r="I129" s="4">
        <v>81.5</v>
      </c>
      <c r="J129" s="4">
        <v>3.19</v>
      </c>
      <c r="K129" s="4">
        <v>0</v>
      </c>
      <c r="L129" s="4">
        <v>4.8</v>
      </c>
      <c r="M129" s="4">
        <v>697155.3</v>
      </c>
      <c r="N129" s="4">
        <v>136408.54</v>
      </c>
    </row>
    <row r="130" spans="1:14">
      <c r="A130" s="4" t="s">
        <v>54</v>
      </c>
      <c r="B130" s="5">
        <v>45658</v>
      </c>
      <c r="C130" s="4" t="s">
        <v>15</v>
      </c>
      <c r="D130" s="4" t="s">
        <v>18</v>
      </c>
      <c r="E130" s="4">
        <v>66250.53</v>
      </c>
      <c r="F130" s="4">
        <v>10618</v>
      </c>
      <c r="G130" s="4">
        <v>0.14199999999999999</v>
      </c>
      <c r="H130" s="4">
        <v>27</v>
      </c>
      <c r="I130" s="4">
        <v>88.3</v>
      </c>
      <c r="J130" s="4">
        <v>1.1000000000000001</v>
      </c>
      <c r="K130" s="4">
        <v>1</v>
      </c>
      <c r="L130" s="4">
        <v>4.4000000000000004</v>
      </c>
      <c r="M130" s="4">
        <v>849018.3</v>
      </c>
      <c r="N130" s="4">
        <v>149035.13</v>
      </c>
    </row>
    <row r="131" spans="1:14">
      <c r="A131" s="4" t="s">
        <v>54</v>
      </c>
      <c r="B131" s="5">
        <v>45689</v>
      </c>
      <c r="C131" s="4" t="s">
        <v>15</v>
      </c>
      <c r="D131" s="4" t="s">
        <v>18</v>
      </c>
      <c r="E131" s="4">
        <v>68410.929999999993</v>
      </c>
      <c r="F131" s="4">
        <v>10596</v>
      </c>
      <c r="G131" s="4">
        <v>0.20699999999999999</v>
      </c>
      <c r="H131" s="4">
        <v>25</v>
      </c>
      <c r="I131" s="4">
        <v>81.2</v>
      </c>
      <c r="J131" s="4">
        <v>0.21</v>
      </c>
      <c r="K131" s="4">
        <v>0</v>
      </c>
      <c r="L131" s="4">
        <v>4</v>
      </c>
      <c r="M131" s="4">
        <v>801830.35</v>
      </c>
      <c r="N131" s="4">
        <v>114875.32</v>
      </c>
    </row>
    <row r="132" spans="1:14">
      <c r="A132" s="4" t="s">
        <v>54</v>
      </c>
      <c r="B132" s="5">
        <v>45717</v>
      </c>
      <c r="C132" s="4" t="s">
        <v>15</v>
      </c>
      <c r="D132" s="4" t="s">
        <v>18</v>
      </c>
      <c r="E132" s="4">
        <v>50735.63</v>
      </c>
      <c r="F132" s="4">
        <v>9619</v>
      </c>
      <c r="G132" s="4">
        <v>0.14399999999999999</v>
      </c>
      <c r="H132" s="4">
        <v>19</v>
      </c>
      <c r="I132" s="4">
        <v>93.8</v>
      </c>
      <c r="J132" s="4">
        <v>5.12</v>
      </c>
      <c r="K132" s="4">
        <v>1</v>
      </c>
      <c r="L132" s="4">
        <v>4.5</v>
      </c>
      <c r="M132" s="4">
        <v>725235.28</v>
      </c>
      <c r="N132" s="4">
        <v>121632.24</v>
      </c>
    </row>
    <row r="133" spans="1:14">
      <c r="A133" s="4" t="s">
        <v>54</v>
      </c>
      <c r="B133" s="5">
        <v>45748</v>
      </c>
      <c r="C133" s="4" t="s">
        <v>15</v>
      </c>
      <c r="D133" s="4" t="s">
        <v>18</v>
      </c>
      <c r="E133" s="4">
        <v>66455.8</v>
      </c>
      <c r="F133" s="4">
        <v>10836</v>
      </c>
      <c r="G133" s="4">
        <v>8.8999999999999996E-2</v>
      </c>
      <c r="H133" s="4">
        <v>25</v>
      </c>
      <c r="I133" s="4">
        <v>85</v>
      </c>
      <c r="J133" s="4">
        <v>9.77</v>
      </c>
      <c r="K133" s="4">
        <v>0</v>
      </c>
      <c r="L133" s="4">
        <v>4.5</v>
      </c>
      <c r="M133" s="4">
        <v>811452.72</v>
      </c>
      <c r="N133" s="4">
        <v>131325.67000000001</v>
      </c>
    </row>
    <row r="134" spans="1:14">
      <c r="A134" s="4" t="s">
        <v>55</v>
      </c>
      <c r="B134" s="5">
        <v>45658</v>
      </c>
      <c r="C134" s="4" t="s">
        <v>20</v>
      </c>
      <c r="D134" s="4" t="s">
        <v>18</v>
      </c>
      <c r="E134" s="4">
        <v>70276.28</v>
      </c>
      <c r="F134" s="4">
        <v>3043</v>
      </c>
      <c r="G134" s="4">
        <v>7.9000000000000001E-2</v>
      </c>
      <c r="H134" s="4">
        <v>9</v>
      </c>
      <c r="I134" s="4">
        <v>87.9</v>
      </c>
      <c r="J134" s="4">
        <v>3.77</v>
      </c>
      <c r="K134" s="4">
        <v>0</v>
      </c>
      <c r="L134" s="4">
        <v>4.4000000000000004</v>
      </c>
      <c r="M134" s="4">
        <v>527300.13</v>
      </c>
      <c r="N134" s="4">
        <v>84197.87</v>
      </c>
    </row>
    <row r="135" spans="1:14">
      <c r="A135" s="4" t="s">
        <v>55</v>
      </c>
      <c r="B135" s="5">
        <v>45689</v>
      </c>
      <c r="C135" s="4" t="s">
        <v>20</v>
      </c>
      <c r="D135" s="4" t="s">
        <v>18</v>
      </c>
      <c r="E135" s="4">
        <v>22071.64</v>
      </c>
      <c r="F135" s="4">
        <v>1814</v>
      </c>
      <c r="G135" s="4">
        <v>0.19600000000000001</v>
      </c>
      <c r="H135" s="4">
        <v>8</v>
      </c>
      <c r="I135" s="4">
        <v>81.099999999999994</v>
      </c>
      <c r="J135" s="4">
        <v>0.78</v>
      </c>
      <c r="K135" s="4">
        <v>0</v>
      </c>
      <c r="L135" s="4"/>
      <c r="M135" s="4">
        <v>400831.65</v>
      </c>
      <c r="N135" s="4">
        <v>70979.31</v>
      </c>
    </row>
    <row r="136" spans="1:14">
      <c r="A136" s="4" t="s">
        <v>55</v>
      </c>
      <c r="B136" s="5">
        <v>45717</v>
      </c>
      <c r="C136" s="4" t="s">
        <v>20</v>
      </c>
      <c r="D136" s="4" t="s">
        <v>18</v>
      </c>
      <c r="E136" s="4">
        <v>52285.45</v>
      </c>
      <c r="F136" s="4">
        <v>3618</v>
      </c>
      <c r="G136" s="4">
        <v>8.5999999999999993E-2</v>
      </c>
      <c r="H136" s="4">
        <v>11</v>
      </c>
      <c r="I136" s="4">
        <v>95.6</v>
      </c>
      <c r="J136" s="4">
        <v>5.17</v>
      </c>
      <c r="K136" s="4">
        <v>1</v>
      </c>
      <c r="L136" s="4">
        <v>4.4000000000000004</v>
      </c>
      <c r="M136" s="4">
        <v>593247.25</v>
      </c>
      <c r="N136" s="4">
        <v>81240.289999999994</v>
      </c>
    </row>
    <row r="137" spans="1:14">
      <c r="A137" s="4" t="s">
        <v>55</v>
      </c>
      <c r="B137" s="5">
        <v>45748</v>
      </c>
      <c r="C137" s="4" t="s">
        <v>20</v>
      </c>
      <c r="D137" s="4" t="s">
        <v>18</v>
      </c>
      <c r="E137" s="4">
        <v>70366.759999999995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 s="4">
        <v>0</v>
      </c>
      <c r="L137" s="4">
        <v>4.5999999999999996</v>
      </c>
      <c r="M137" s="4">
        <v>529075.94999999995</v>
      </c>
      <c r="N137" s="4">
        <v>95978.83</v>
      </c>
    </row>
    <row r="138" spans="1:14">
      <c r="A138" s="4" t="s">
        <v>56</v>
      </c>
      <c r="B138" s="5">
        <v>45658</v>
      </c>
      <c r="C138" s="4" t="s">
        <v>24</v>
      </c>
      <c r="D138" s="4" t="s">
        <v>16</v>
      </c>
      <c r="E138" s="4">
        <v>71320.66</v>
      </c>
      <c r="F138" s="4">
        <v>7888</v>
      </c>
      <c r="G138" s="4">
        <v>4.8000000000000001E-2</v>
      </c>
      <c r="H138" s="4">
        <v>20</v>
      </c>
      <c r="I138" s="4">
        <v>78.099999999999994</v>
      </c>
      <c r="J138" s="4">
        <v>3.4</v>
      </c>
      <c r="K138" s="4">
        <v>0</v>
      </c>
      <c r="L138" s="4"/>
      <c r="M138" s="4">
        <v>633638.03</v>
      </c>
      <c r="N138" s="4">
        <v>99402.01</v>
      </c>
    </row>
    <row r="139" spans="1:14">
      <c r="A139" s="4" t="s">
        <v>56</v>
      </c>
      <c r="B139" s="5">
        <v>45689</v>
      </c>
      <c r="C139" s="4" t="s">
        <v>24</v>
      </c>
      <c r="D139" s="4" t="s">
        <v>16</v>
      </c>
      <c r="E139" s="4">
        <v>75109.67</v>
      </c>
      <c r="F139" s="4">
        <v>6244</v>
      </c>
      <c r="G139" s="4">
        <v>7.9000000000000001E-2</v>
      </c>
      <c r="H139" s="4">
        <v>15</v>
      </c>
      <c r="I139" s="4">
        <v>96.3</v>
      </c>
      <c r="J139" s="4">
        <v>7.38</v>
      </c>
      <c r="K139" s="4">
        <v>0</v>
      </c>
      <c r="L139" s="4">
        <v>3.7</v>
      </c>
      <c r="M139" s="4">
        <v>743348.84</v>
      </c>
      <c r="N139" s="4">
        <v>104186.09</v>
      </c>
    </row>
    <row r="140" spans="1:14">
      <c r="A140" s="4" t="s">
        <v>56</v>
      </c>
      <c r="B140" s="5">
        <v>45717</v>
      </c>
      <c r="C140" s="4" t="s">
        <v>24</v>
      </c>
      <c r="D140" s="4" t="s">
        <v>16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 s="4">
        <v>1</v>
      </c>
      <c r="L140" s="4">
        <v>3.3</v>
      </c>
      <c r="M140" s="4">
        <v>758827.64</v>
      </c>
      <c r="N140" s="4">
        <v>161439.48000000001</v>
      </c>
    </row>
    <row r="141" spans="1:14">
      <c r="A141" s="4" t="s">
        <v>56</v>
      </c>
      <c r="B141" s="5">
        <v>45748</v>
      </c>
      <c r="C141" s="4" t="s">
        <v>24</v>
      </c>
      <c r="D141" s="4" t="s">
        <v>16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 s="4">
        <v>0</v>
      </c>
      <c r="L141" s="4">
        <v>3.6</v>
      </c>
      <c r="M141" s="4">
        <v>646559.71</v>
      </c>
      <c r="N141" s="4">
        <v>97981.75</v>
      </c>
    </row>
    <row r="142" spans="1:14">
      <c r="A142" s="4" t="s">
        <v>57</v>
      </c>
      <c r="B142" s="5">
        <v>45658</v>
      </c>
      <c r="C142" s="4" t="s">
        <v>27</v>
      </c>
      <c r="D142" s="4" t="s">
        <v>18</v>
      </c>
      <c r="E142" s="4">
        <v>51430.31</v>
      </c>
      <c r="F142" s="4">
        <v>6427</v>
      </c>
      <c r="G142" s="4">
        <v>0.23400000000000001</v>
      </c>
      <c r="H142" s="4">
        <v>14</v>
      </c>
      <c r="I142" s="4">
        <v>88.8</v>
      </c>
      <c r="J142" s="4">
        <v>0.77</v>
      </c>
      <c r="K142" s="4">
        <v>0</v>
      </c>
      <c r="L142" s="4">
        <v>4.0999999999999996</v>
      </c>
      <c r="M142" s="4">
        <v>715890.53</v>
      </c>
      <c r="N142" s="4">
        <v>109032.15</v>
      </c>
    </row>
    <row r="143" spans="1:14">
      <c r="A143" s="4" t="s">
        <v>57</v>
      </c>
      <c r="B143" s="5">
        <v>45689</v>
      </c>
      <c r="C143" s="4" t="s">
        <v>27</v>
      </c>
      <c r="D143" s="4" t="s">
        <v>18</v>
      </c>
      <c r="E143" s="4">
        <v>45706.49</v>
      </c>
      <c r="F143" s="4">
        <v>6704</v>
      </c>
      <c r="G143" s="4">
        <v>3.7999999999999999E-2</v>
      </c>
      <c r="H143" s="4">
        <v>15</v>
      </c>
      <c r="I143" s="4">
        <v>94.2</v>
      </c>
      <c r="J143" s="4">
        <v>2.92</v>
      </c>
      <c r="K143" s="4">
        <v>0</v>
      </c>
      <c r="L143" s="4">
        <v>4.2</v>
      </c>
      <c r="M143" s="4">
        <v>715097.57</v>
      </c>
      <c r="N143" s="4">
        <v>151875.85999999999</v>
      </c>
    </row>
    <row r="144" spans="1:14">
      <c r="A144" s="4" t="s">
        <v>57</v>
      </c>
      <c r="B144" s="5">
        <v>45717</v>
      </c>
      <c r="C144" s="4" t="s">
        <v>27</v>
      </c>
      <c r="D144" s="4" t="s">
        <v>18</v>
      </c>
      <c r="E144" s="4">
        <v>44034.6</v>
      </c>
      <c r="F144" s="4">
        <v>5645</v>
      </c>
      <c r="G144" s="4">
        <v>6.9000000000000006E-2</v>
      </c>
      <c r="H144" s="4">
        <v>18</v>
      </c>
      <c r="I144" s="4">
        <v>88.5</v>
      </c>
      <c r="J144" s="4">
        <v>3.07</v>
      </c>
      <c r="K144" s="4">
        <v>0</v>
      </c>
      <c r="L144" s="4">
        <v>3.8</v>
      </c>
      <c r="M144" s="4">
        <v>682639.28</v>
      </c>
      <c r="N144" s="4">
        <v>77557.53</v>
      </c>
    </row>
    <row r="145" spans="1:14">
      <c r="A145" s="4" t="s">
        <v>57</v>
      </c>
      <c r="B145" s="5">
        <v>45748</v>
      </c>
      <c r="C145" s="4" t="s">
        <v>27</v>
      </c>
      <c r="D145" s="4" t="s">
        <v>18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9.6999999999999993</v>
      </c>
      <c r="K145" s="4">
        <v>0</v>
      </c>
      <c r="L145" s="4">
        <v>3.9</v>
      </c>
      <c r="M145" s="4">
        <v>695098.51</v>
      </c>
      <c r="N145" s="4">
        <v>108192.75</v>
      </c>
    </row>
    <row r="146" spans="1:14">
      <c r="A146" s="4" t="s">
        <v>58</v>
      </c>
      <c r="B146" s="5">
        <v>45658</v>
      </c>
      <c r="C146" s="4" t="s">
        <v>20</v>
      </c>
      <c r="D146" s="4" t="s">
        <v>16</v>
      </c>
      <c r="E146" s="4">
        <v>70488.2</v>
      </c>
      <c r="F146" s="4">
        <v>4312</v>
      </c>
      <c r="G146" s="4">
        <v>0.16900000000000001</v>
      </c>
      <c r="H146" s="4">
        <v>12</v>
      </c>
      <c r="I146" s="4">
        <v>90.2</v>
      </c>
      <c r="J146" s="4">
        <v>3.71</v>
      </c>
      <c r="K146" s="4">
        <v>0</v>
      </c>
      <c r="L146" s="4">
        <v>3.2</v>
      </c>
      <c r="M146" s="4">
        <v>577732.56999999995</v>
      </c>
      <c r="N146" s="4">
        <v>93804.27</v>
      </c>
    </row>
    <row r="147" spans="1:14">
      <c r="A147" s="4" t="s">
        <v>58</v>
      </c>
      <c r="B147" s="5">
        <v>45689</v>
      </c>
      <c r="C147" s="4" t="s">
        <v>20</v>
      </c>
      <c r="D147" s="4" t="s">
        <v>16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 s="4">
        <v>0</v>
      </c>
      <c r="L147" s="4">
        <v>3.5</v>
      </c>
      <c r="M147" s="4">
        <v>537058.32999999996</v>
      </c>
      <c r="N147" s="4">
        <v>93555.71</v>
      </c>
    </row>
    <row r="148" spans="1:14">
      <c r="A148" s="4" t="s">
        <v>58</v>
      </c>
      <c r="B148" s="5">
        <v>45717</v>
      </c>
      <c r="C148" s="4" t="s">
        <v>20</v>
      </c>
      <c r="D148" s="4" t="s">
        <v>16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 s="4">
        <v>0</v>
      </c>
      <c r="L148" s="4">
        <v>3.4</v>
      </c>
      <c r="M148" s="4">
        <v>601568.87</v>
      </c>
      <c r="N148" s="4">
        <v>91634.82</v>
      </c>
    </row>
    <row r="149" spans="1:14">
      <c r="A149" s="4" t="s">
        <v>58</v>
      </c>
      <c r="B149" s="5">
        <v>45748</v>
      </c>
      <c r="C149" s="4" t="s">
        <v>20</v>
      </c>
      <c r="D149" s="4" t="s">
        <v>16</v>
      </c>
      <c r="E149" s="4">
        <v>60322.400000000001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 s="4">
        <v>0</v>
      </c>
      <c r="L149" s="4">
        <v>3.4</v>
      </c>
      <c r="M149" s="4">
        <v>570964.84</v>
      </c>
      <c r="N149" s="4">
        <v>81331.070000000007</v>
      </c>
    </row>
    <row r="150" spans="1:14">
      <c r="A150" s="4" t="s">
        <v>59</v>
      </c>
      <c r="B150" s="5">
        <v>45658</v>
      </c>
      <c r="C150" s="4" t="s">
        <v>24</v>
      </c>
      <c r="D150" s="4" t="s">
        <v>28</v>
      </c>
      <c r="E150" s="4">
        <v>51575.68</v>
      </c>
      <c r="F150" s="4">
        <v>5329</v>
      </c>
      <c r="G150" s="4">
        <v>4.7E-2</v>
      </c>
      <c r="H150" s="4">
        <v>17</v>
      </c>
      <c r="I150" s="4">
        <v>88.1</v>
      </c>
      <c r="J150" s="4">
        <v>19.78</v>
      </c>
      <c r="K150" s="4">
        <v>0</v>
      </c>
      <c r="L150" s="4">
        <v>3.8</v>
      </c>
      <c r="M150" s="4">
        <v>614024.91</v>
      </c>
      <c r="N150" s="4">
        <v>84828.93</v>
      </c>
    </row>
    <row r="151" spans="1:14">
      <c r="A151" s="4" t="s">
        <v>59</v>
      </c>
      <c r="B151" s="5">
        <v>45689</v>
      </c>
      <c r="C151" s="4" t="s">
        <v>24</v>
      </c>
      <c r="D151" s="4" t="s">
        <v>28</v>
      </c>
      <c r="E151" s="4">
        <v>43319.94</v>
      </c>
      <c r="F151" s="4">
        <v>6551</v>
      </c>
      <c r="G151" s="4">
        <v>4.3999999999999997E-2</v>
      </c>
      <c r="H151" s="4">
        <v>13</v>
      </c>
      <c r="I151" s="4">
        <v>99</v>
      </c>
      <c r="J151" s="4">
        <v>5.45</v>
      </c>
      <c r="K151" s="4">
        <v>0</v>
      </c>
      <c r="L151" s="4">
        <v>4.0999999999999996</v>
      </c>
      <c r="M151" s="4">
        <v>712868.35</v>
      </c>
      <c r="N151" s="4">
        <v>133650.51</v>
      </c>
    </row>
    <row r="152" spans="1:14">
      <c r="A152" s="4" t="s">
        <v>59</v>
      </c>
      <c r="B152" s="5">
        <v>45717</v>
      </c>
      <c r="C152" s="4" t="s">
        <v>24</v>
      </c>
      <c r="D152" s="4" t="s">
        <v>28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 s="4">
        <v>1</v>
      </c>
      <c r="L152" s="4">
        <v>3.7</v>
      </c>
      <c r="M152" s="4">
        <v>696744.15</v>
      </c>
      <c r="N152" s="4">
        <v>152230.09</v>
      </c>
    </row>
    <row r="153" spans="1:14">
      <c r="A153" s="4" t="s">
        <v>59</v>
      </c>
      <c r="B153" s="5">
        <v>45748</v>
      </c>
      <c r="C153" s="4" t="s">
        <v>24</v>
      </c>
      <c r="D153" s="4" t="s">
        <v>28</v>
      </c>
      <c r="E153" s="4">
        <v>71855.09</v>
      </c>
      <c r="F153" s="4">
        <v>5911</v>
      </c>
      <c r="G153" s="4">
        <v>0.19700000000000001</v>
      </c>
      <c r="H153" s="4">
        <v>15</v>
      </c>
      <c r="I153" s="4">
        <v>94.3</v>
      </c>
      <c r="J153" s="4">
        <v>3.55</v>
      </c>
      <c r="K153" s="4">
        <v>0</v>
      </c>
      <c r="L153" s="4">
        <v>4.0999999999999996</v>
      </c>
      <c r="M153" s="4">
        <v>725847.99</v>
      </c>
      <c r="N153" s="4">
        <v>122698.73</v>
      </c>
    </row>
    <row r="154" spans="1:14">
      <c r="A154" s="4" t="s">
        <v>60</v>
      </c>
      <c r="B154" s="5">
        <v>45658</v>
      </c>
      <c r="C154" s="4" t="s">
        <v>15</v>
      </c>
      <c r="D154" s="4" t="s">
        <v>18</v>
      </c>
      <c r="E154" s="4">
        <v>75645.23</v>
      </c>
      <c r="F154" s="4">
        <v>9674</v>
      </c>
      <c r="G154" s="4">
        <v>0.23400000000000001</v>
      </c>
      <c r="H154" s="4">
        <v>21</v>
      </c>
      <c r="I154" s="4">
        <v>87.4</v>
      </c>
      <c r="J154" s="4">
        <v>0.2</v>
      </c>
      <c r="K154" s="4">
        <v>0</v>
      </c>
      <c r="L154" s="4">
        <v>4.5</v>
      </c>
      <c r="M154" s="4">
        <v>785028.25</v>
      </c>
      <c r="N154" s="4">
        <v>110726.44</v>
      </c>
    </row>
    <row r="155" spans="1:14">
      <c r="A155" s="4" t="s">
        <v>60</v>
      </c>
      <c r="B155" s="5">
        <v>45689</v>
      </c>
      <c r="C155" s="4" t="s">
        <v>15</v>
      </c>
      <c r="D155" s="4" t="s">
        <v>18</v>
      </c>
      <c r="E155" s="4">
        <v>64374.75</v>
      </c>
      <c r="F155" s="4">
        <v>6740</v>
      </c>
      <c r="G155" s="4">
        <v>0.16900000000000001</v>
      </c>
      <c r="H155" s="4">
        <v>18</v>
      </c>
      <c r="I155" s="4">
        <v>87</v>
      </c>
      <c r="J155" s="4">
        <v>2.09</v>
      </c>
      <c r="K155" s="4">
        <v>0</v>
      </c>
      <c r="L155" s="4">
        <v>4.2</v>
      </c>
      <c r="M155" s="4">
        <v>698492.67</v>
      </c>
      <c r="N155" s="4">
        <v>117319.32</v>
      </c>
    </row>
    <row r="156" spans="1:14">
      <c r="A156" s="4" t="s">
        <v>60</v>
      </c>
      <c r="B156" s="5">
        <v>45717</v>
      </c>
      <c r="C156" s="4" t="s">
        <v>15</v>
      </c>
      <c r="D156" s="4" t="s">
        <v>18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2.2599999999999998</v>
      </c>
      <c r="K156" s="4">
        <v>0</v>
      </c>
      <c r="L156" s="4">
        <v>4.2</v>
      </c>
      <c r="M156" s="4">
        <v>685830.24</v>
      </c>
      <c r="N156" s="4">
        <v>128736.18</v>
      </c>
    </row>
    <row r="157" spans="1:14">
      <c r="A157" s="4" t="s">
        <v>60</v>
      </c>
      <c r="B157" s="5">
        <v>45748</v>
      </c>
      <c r="C157" s="4" t="s">
        <v>15</v>
      </c>
      <c r="D157" s="4" t="s">
        <v>18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 s="4">
        <v>0</v>
      </c>
      <c r="L157" s="4">
        <v>4.4000000000000004</v>
      </c>
      <c r="M157" s="4">
        <v>702318.94</v>
      </c>
      <c r="N157" s="4">
        <v>112829.29</v>
      </c>
    </row>
    <row r="158" spans="1:14">
      <c r="A158" s="4" t="s">
        <v>61</v>
      </c>
      <c r="B158" s="5">
        <v>45658</v>
      </c>
      <c r="C158" s="4" t="s">
        <v>20</v>
      </c>
      <c r="D158" s="4" t="s">
        <v>28</v>
      </c>
      <c r="E158" s="4">
        <v>86883.31</v>
      </c>
      <c r="F158" s="4">
        <v>6424</v>
      </c>
      <c r="G158" s="4">
        <v>5.7000000000000002E-2</v>
      </c>
      <c r="H158" s="4">
        <v>19</v>
      </c>
      <c r="I158" s="4">
        <v>85.2</v>
      </c>
      <c r="J158" s="4">
        <v>3.08</v>
      </c>
      <c r="K158" s="4">
        <v>0</v>
      </c>
      <c r="L158" s="4">
        <v>3.9</v>
      </c>
      <c r="M158" s="4">
        <v>700078.32</v>
      </c>
      <c r="N158" s="4">
        <v>123707.58</v>
      </c>
    </row>
    <row r="159" spans="1:14">
      <c r="A159" s="4" t="s">
        <v>61</v>
      </c>
      <c r="B159" s="5">
        <v>45689</v>
      </c>
      <c r="C159" s="4" t="s">
        <v>20</v>
      </c>
      <c r="D159" s="4" t="s">
        <v>28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 s="4">
        <v>0</v>
      </c>
      <c r="L159" s="4">
        <v>3</v>
      </c>
      <c r="M159" s="4">
        <v>602002.31999999995</v>
      </c>
      <c r="N159" s="4">
        <v>110453.28</v>
      </c>
    </row>
    <row r="160" spans="1:14">
      <c r="A160" s="4" t="s">
        <v>61</v>
      </c>
      <c r="B160" s="5">
        <v>45717</v>
      </c>
      <c r="C160" s="4" t="s">
        <v>20</v>
      </c>
      <c r="D160" s="4" t="s">
        <v>28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 s="4">
        <v>0</v>
      </c>
      <c r="L160" s="4">
        <v>3.4</v>
      </c>
      <c r="M160" s="4">
        <v>724216.07</v>
      </c>
      <c r="N160" s="4">
        <v>100627.56</v>
      </c>
    </row>
    <row r="161" spans="1:14">
      <c r="A161" s="4" t="s">
        <v>61</v>
      </c>
      <c r="B161" s="5">
        <v>45748</v>
      </c>
      <c r="C161" s="4" t="s">
        <v>20</v>
      </c>
      <c r="D161" s="4" t="s">
        <v>28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 s="4">
        <v>0</v>
      </c>
      <c r="L161" s="4">
        <v>3.3</v>
      </c>
      <c r="M161" s="4">
        <v>620973.03</v>
      </c>
      <c r="N161" s="4">
        <v>72303.850000000006</v>
      </c>
    </row>
    <row r="162" spans="1:14">
      <c r="A162" s="4" t="s">
        <v>62</v>
      </c>
      <c r="B162" s="5">
        <v>45658</v>
      </c>
      <c r="C162" s="4" t="s">
        <v>24</v>
      </c>
      <c r="D162" s="4" t="s">
        <v>18</v>
      </c>
      <c r="E162" s="4">
        <v>41443.410000000003</v>
      </c>
      <c r="F162" s="4">
        <v>7455</v>
      </c>
      <c r="G162" s="4">
        <v>0.17499999999999999</v>
      </c>
      <c r="H162" s="4">
        <v>16</v>
      </c>
      <c r="I162" s="4">
        <v>90.1</v>
      </c>
      <c r="J162" s="4">
        <v>4.05</v>
      </c>
      <c r="K162" s="4">
        <v>0</v>
      </c>
      <c r="L162" s="4">
        <v>4</v>
      </c>
      <c r="M162" s="4">
        <v>650480.06000000006</v>
      </c>
      <c r="N162" s="4">
        <v>109012.07</v>
      </c>
    </row>
    <row r="163" spans="1:14">
      <c r="A163" s="4" t="s">
        <v>62</v>
      </c>
      <c r="B163" s="5">
        <v>45689</v>
      </c>
      <c r="C163" s="4" t="s">
        <v>24</v>
      </c>
      <c r="D163" s="4" t="s">
        <v>18</v>
      </c>
      <c r="E163" s="4">
        <v>48438.85</v>
      </c>
      <c r="F163" s="4">
        <v>6992</v>
      </c>
      <c r="G163" s="4">
        <v>3.4000000000000002E-2</v>
      </c>
      <c r="H163" s="4">
        <v>20</v>
      </c>
      <c r="I163" s="4">
        <v>91</v>
      </c>
      <c r="J163" s="4">
        <v>4.3600000000000003</v>
      </c>
      <c r="K163" s="4">
        <v>0</v>
      </c>
      <c r="L163" s="4">
        <v>4.2</v>
      </c>
      <c r="M163" s="4">
        <v>778298.88</v>
      </c>
      <c r="N163" s="4">
        <v>130076.72</v>
      </c>
    </row>
    <row r="164" spans="1:14">
      <c r="A164" s="4" t="s">
        <v>62</v>
      </c>
      <c r="B164" s="5">
        <v>45717</v>
      </c>
      <c r="C164" s="4" t="s">
        <v>24</v>
      </c>
      <c r="D164" s="4" t="s">
        <v>18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72.599999999999994</v>
      </c>
      <c r="J164" s="4"/>
      <c r="K164" s="4">
        <v>0</v>
      </c>
      <c r="L164" s="4">
        <v>4.2</v>
      </c>
      <c r="M164" s="4">
        <v>677096.71</v>
      </c>
      <c r="N164" s="4">
        <v>97174.11</v>
      </c>
    </row>
    <row r="165" spans="1:14">
      <c r="A165" s="4" t="s">
        <v>62</v>
      </c>
      <c r="B165" s="5">
        <v>45748</v>
      </c>
      <c r="C165" s="4" t="s">
        <v>24</v>
      </c>
      <c r="D165" s="4" t="s">
        <v>18</v>
      </c>
      <c r="E165" s="4">
        <v>66870.62</v>
      </c>
      <c r="F165" s="4">
        <v>6055</v>
      </c>
      <c r="G165" s="4">
        <v>7.4999999999999997E-2</v>
      </c>
      <c r="H165" s="4">
        <v>19</v>
      </c>
      <c r="I165" s="4">
        <v>93.8</v>
      </c>
      <c r="J165" s="4">
        <v>0.54</v>
      </c>
      <c r="K165" s="4">
        <v>0</v>
      </c>
      <c r="L165" s="4">
        <v>4.3</v>
      </c>
      <c r="M165" s="4">
        <v>692008.64</v>
      </c>
      <c r="N165" s="4">
        <v>116337.87</v>
      </c>
    </row>
    <row r="166" spans="1:14">
      <c r="A166" s="4" t="s">
        <v>63</v>
      </c>
      <c r="B166" s="5">
        <v>45658</v>
      </c>
      <c r="C166" s="4" t="s">
        <v>20</v>
      </c>
      <c r="D166" s="4" t="s">
        <v>28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 s="4">
        <v>1</v>
      </c>
      <c r="L166" s="4">
        <v>4.3</v>
      </c>
      <c r="M166" s="4">
        <v>825797.91</v>
      </c>
      <c r="N166" s="4">
        <v>130945.24</v>
      </c>
    </row>
    <row r="167" spans="1:14">
      <c r="A167" s="4" t="s">
        <v>63</v>
      </c>
      <c r="B167" s="5">
        <v>45689</v>
      </c>
      <c r="C167" s="4" t="s">
        <v>20</v>
      </c>
      <c r="D167" s="4" t="s">
        <v>28</v>
      </c>
      <c r="E167" s="4">
        <v>35303.300000000003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 s="4">
        <v>0</v>
      </c>
      <c r="L167" s="4">
        <v>4.2</v>
      </c>
      <c r="M167" s="4">
        <v>706285.52</v>
      </c>
      <c r="N167" s="4">
        <v>138014.72</v>
      </c>
    </row>
    <row r="168" spans="1:14">
      <c r="A168" s="4" t="s">
        <v>63</v>
      </c>
      <c r="B168" s="5">
        <v>45717</v>
      </c>
      <c r="C168" s="4" t="s">
        <v>20</v>
      </c>
      <c r="D168" s="4" t="s">
        <v>28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 s="4">
        <v>0</v>
      </c>
      <c r="L168" s="4">
        <v>4</v>
      </c>
      <c r="M168" s="4">
        <v>665534.69999999995</v>
      </c>
      <c r="N168" s="4">
        <v>113167.73</v>
      </c>
    </row>
    <row r="169" spans="1:14">
      <c r="A169" s="4" t="s">
        <v>63</v>
      </c>
      <c r="B169" s="5">
        <v>45748</v>
      </c>
      <c r="C169" s="4" t="s">
        <v>20</v>
      </c>
      <c r="D169" s="4" t="s">
        <v>28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 s="4">
        <v>0</v>
      </c>
      <c r="L169" s="4">
        <v>4.0999999999999996</v>
      </c>
      <c r="M169" s="4">
        <v>820729.29</v>
      </c>
      <c r="N169" s="4">
        <v>159325.47</v>
      </c>
    </row>
    <row r="170" spans="1:14">
      <c r="A170" s="4" t="s">
        <v>64</v>
      </c>
      <c r="B170" s="5">
        <v>45658</v>
      </c>
      <c r="C170" s="4" t="s">
        <v>15</v>
      </c>
      <c r="D170" s="4" t="s">
        <v>16</v>
      </c>
      <c r="E170" s="4">
        <v>62059.18</v>
      </c>
      <c r="F170" s="4">
        <v>9374</v>
      </c>
      <c r="G170" s="4">
        <v>0.13600000000000001</v>
      </c>
      <c r="H170" s="4">
        <v>25</v>
      </c>
      <c r="I170" s="4">
        <v>87.1</v>
      </c>
      <c r="J170" s="4">
        <v>12.55</v>
      </c>
      <c r="K170" s="4">
        <v>0</v>
      </c>
      <c r="L170" s="4">
        <v>4.9000000000000004</v>
      </c>
      <c r="M170" s="4">
        <v>739831.73</v>
      </c>
      <c r="N170" s="4">
        <v>119490.21</v>
      </c>
    </row>
    <row r="171" spans="1:14">
      <c r="A171" s="4" t="s">
        <v>64</v>
      </c>
      <c r="B171" s="5">
        <v>45689</v>
      </c>
      <c r="C171" s="4" t="s">
        <v>15</v>
      </c>
      <c r="D171" s="4" t="s">
        <v>16</v>
      </c>
      <c r="E171" s="4">
        <v>32834.480000000003</v>
      </c>
      <c r="F171" s="4">
        <v>7576</v>
      </c>
      <c r="G171" s="4">
        <v>9.9000000000000005E-2</v>
      </c>
      <c r="H171" s="4">
        <v>15</v>
      </c>
      <c r="I171" s="4">
        <v>84.1</v>
      </c>
      <c r="J171" s="4">
        <v>3.48</v>
      </c>
      <c r="K171" s="4">
        <v>0</v>
      </c>
      <c r="L171" s="4">
        <v>5</v>
      </c>
      <c r="M171" s="4">
        <v>593637.14</v>
      </c>
      <c r="N171" s="4">
        <v>106648.14</v>
      </c>
    </row>
    <row r="172" spans="1:14">
      <c r="A172" s="4" t="s">
        <v>64</v>
      </c>
      <c r="B172" s="5">
        <v>45717</v>
      </c>
      <c r="C172" s="4" t="s">
        <v>15</v>
      </c>
      <c r="D172" s="4" t="s">
        <v>16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 s="4">
        <v>0</v>
      </c>
      <c r="L172" s="4">
        <v>4.9000000000000004</v>
      </c>
      <c r="M172" s="4">
        <v>769702.76</v>
      </c>
      <c r="N172" s="4">
        <v>158697</v>
      </c>
    </row>
    <row r="173" spans="1:14">
      <c r="A173" s="4" t="s">
        <v>64</v>
      </c>
      <c r="B173" s="5">
        <v>45748</v>
      </c>
      <c r="C173" s="4" t="s">
        <v>15</v>
      </c>
      <c r="D173" s="4" t="s">
        <v>16</v>
      </c>
      <c r="E173" s="4">
        <v>36606.51</v>
      </c>
      <c r="F173" s="4">
        <v>7671</v>
      </c>
      <c r="G173" s="4">
        <v>0.11799999999999999</v>
      </c>
      <c r="H173" s="4">
        <v>18</v>
      </c>
      <c r="I173" s="4">
        <v>89.8</v>
      </c>
      <c r="J173" s="4">
        <v>0.25</v>
      </c>
      <c r="K173" s="4">
        <v>0</v>
      </c>
      <c r="L173" s="4">
        <v>4.4000000000000004</v>
      </c>
      <c r="M173" s="4">
        <v>679731.57</v>
      </c>
      <c r="N173" s="4">
        <v>121546.42</v>
      </c>
    </row>
    <row r="174" spans="1:14">
      <c r="A174" s="4" t="s">
        <v>65</v>
      </c>
      <c r="B174" s="5">
        <v>45658</v>
      </c>
      <c r="C174" s="4" t="s">
        <v>15</v>
      </c>
      <c r="D174" s="4" t="s">
        <v>16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 s="4">
        <v>0</v>
      </c>
      <c r="L174" s="4">
        <v>3.3</v>
      </c>
      <c r="M174" s="4">
        <v>780344.18</v>
      </c>
      <c r="N174" s="4">
        <v>118239.09</v>
      </c>
    </row>
    <row r="175" spans="1:14">
      <c r="A175" s="4" t="s">
        <v>65</v>
      </c>
      <c r="B175" s="5">
        <v>45689</v>
      </c>
      <c r="C175" s="4" t="s">
        <v>15</v>
      </c>
      <c r="D175" s="4" t="s">
        <v>16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 s="4">
        <v>0</v>
      </c>
      <c r="L175" s="4">
        <v>3.1</v>
      </c>
      <c r="M175" s="4">
        <v>721364.11</v>
      </c>
      <c r="N175" s="4">
        <v>147272.81</v>
      </c>
    </row>
    <row r="176" spans="1:14">
      <c r="A176" s="4" t="s">
        <v>65</v>
      </c>
      <c r="B176" s="5">
        <v>45717</v>
      </c>
      <c r="C176" s="4" t="s">
        <v>15</v>
      </c>
      <c r="D176" s="4" t="s">
        <v>16</v>
      </c>
      <c r="E176" s="4">
        <v>68040.149999999994</v>
      </c>
      <c r="F176" s="4">
        <v>9826</v>
      </c>
      <c r="G176" s="4">
        <v>0.125</v>
      </c>
      <c r="H176" s="4">
        <v>20</v>
      </c>
      <c r="I176" s="4">
        <v>83.9</v>
      </c>
      <c r="J176" s="4">
        <v>9.1199999999999992</v>
      </c>
      <c r="K176" s="4">
        <v>0</v>
      </c>
      <c r="L176" s="4">
        <v>3.6</v>
      </c>
      <c r="M176" s="4">
        <v>758138.29</v>
      </c>
      <c r="N176" s="4">
        <v>132975.26</v>
      </c>
    </row>
    <row r="177" spans="1:14">
      <c r="A177" s="4" t="s">
        <v>65</v>
      </c>
      <c r="B177" s="5">
        <v>45748</v>
      </c>
      <c r="C177" s="4" t="s">
        <v>15</v>
      </c>
      <c r="D177" s="4" t="s">
        <v>16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 s="4">
        <v>0</v>
      </c>
      <c r="L177" s="4">
        <v>3.1</v>
      </c>
      <c r="M177" s="4">
        <v>804264</v>
      </c>
      <c r="N177" s="4">
        <v>167117.91</v>
      </c>
    </row>
    <row r="178" spans="1:14">
      <c r="A178" s="4" t="s">
        <v>66</v>
      </c>
      <c r="B178" s="5">
        <v>45658</v>
      </c>
      <c r="C178" s="4" t="s">
        <v>27</v>
      </c>
      <c r="D178" s="4" t="s">
        <v>21</v>
      </c>
      <c r="E178" s="4">
        <v>67494.09</v>
      </c>
      <c r="F178" s="4">
        <v>12361</v>
      </c>
      <c r="G178" s="4">
        <v>4.5999999999999999E-2</v>
      </c>
      <c r="H178" s="4">
        <v>24</v>
      </c>
      <c r="I178" s="4">
        <v>76.599999999999994</v>
      </c>
      <c r="J178" s="4">
        <v>3.65</v>
      </c>
      <c r="K178" s="4">
        <v>1</v>
      </c>
      <c r="L178" s="4">
        <v>3.7</v>
      </c>
      <c r="M178" s="4">
        <v>887537.75</v>
      </c>
      <c r="N178" s="4">
        <v>160362.92000000001</v>
      </c>
    </row>
    <row r="179" spans="1:14">
      <c r="A179" s="4" t="s">
        <v>66</v>
      </c>
      <c r="B179" s="5">
        <v>45689</v>
      </c>
      <c r="C179" s="4" t="s">
        <v>27</v>
      </c>
      <c r="D179" s="4" t="s">
        <v>21</v>
      </c>
      <c r="E179" s="4">
        <v>29389.32</v>
      </c>
      <c r="F179" s="4">
        <v>7925</v>
      </c>
      <c r="G179" s="4">
        <v>0.17699999999999999</v>
      </c>
      <c r="H179" s="4">
        <v>21</v>
      </c>
      <c r="I179" s="4">
        <v>90.9</v>
      </c>
      <c r="J179" s="4">
        <v>7.86</v>
      </c>
      <c r="K179" s="4">
        <v>0</v>
      </c>
      <c r="L179" s="4">
        <v>4</v>
      </c>
      <c r="M179" s="4">
        <v>783582</v>
      </c>
      <c r="N179" s="4">
        <v>130670.93</v>
      </c>
    </row>
    <row r="180" spans="1:14">
      <c r="A180" s="4" t="s">
        <v>66</v>
      </c>
      <c r="B180" s="5">
        <v>45717</v>
      </c>
      <c r="C180" s="4" t="s">
        <v>27</v>
      </c>
      <c r="D180" s="4" t="s">
        <v>21</v>
      </c>
      <c r="E180" s="4">
        <v>40535.089999999997</v>
      </c>
      <c r="F180" s="4">
        <v>8870</v>
      </c>
      <c r="G180" s="4">
        <v>4.1000000000000002E-2</v>
      </c>
      <c r="H180" s="4">
        <v>21</v>
      </c>
      <c r="I180" s="4">
        <v>86.6</v>
      </c>
      <c r="J180" s="4">
        <v>0.3</v>
      </c>
      <c r="K180" s="4">
        <v>0</v>
      </c>
      <c r="L180" s="4">
        <v>4.0999999999999996</v>
      </c>
      <c r="M180" s="4">
        <v>781955.52</v>
      </c>
      <c r="N180" s="4">
        <v>152578.71</v>
      </c>
    </row>
    <row r="181" spans="1:14">
      <c r="A181" s="4" t="s">
        <v>66</v>
      </c>
      <c r="B181" s="5">
        <v>45748</v>
      </c>
      <c r="C181" s="4" t="s">
        <v>27</v>
      </c>
      <c r="D181" s="4" t="s">
        <v>21</v>
      </c>
      <c r="E181" s="4">
        <v>74881.56</v>
      </c>
      <c r="F181" s="4">
        <v>9999</v>
      </c>
      <c r="G181" s="4">
        <v>1.2999999999999999E-2</v>
      </c>
      <c r="H181" s="4">
        <v>20</v>
      </c>
      <c r="I181" s="4">
        <v>89.6</v>
      </c>
      <c r="J181" s="4">
        <v>8.44</v>
      </c>
      <c r="K181" s="4">
        <v>0</v>
      </c>
      <c r="L181" s="4">
        <v>4.0999999999999996</v>
      </c>
      <c r="M181" s="4">
        <v>898031.04</v>
      </c>
      <c r="N181" s="4">
        <v>138666.5</v>
      </c>
    </row>
    <row r="182" spans="1:14">
      <c r="A182" s="4" t="s">
        <v>67</v>
      </c>
      <c r="B182" s="5">
        <v>45658</v>
      </c>
      <c r="C182" s="4" t="s">
        <v>27</v>
      </c>
      <c r="D182" s="4" t="s">
        <v>16</v>
      </c>
      <c r="E182" s="4">
        <v>68491.11</v>
      </c>
      <c r="F182" s="4">
        <v>11154</v>
      </c>
      <c r="G182" s="4">
        <v>1E-3</v>
      </c>
      <c r="H182" s="4">
        <v>24</v>
      </c>
      <c r="I182" s="4">
        <v>89.4</v>
      </c>
      <c r="J182" s="4">
        <v>5.27</v>
      </c>
      <c r="K182" s="4">
        <v>1</v>
      </c>
      <c r="L182" s="4">
        <v>3.9</v>
      </c>
      <c r="M182" s="4">
        <v>855341.28</v>
      </c>
      <c r="N182" s="4">
        <v>175823.8</v>
      </c>
    </row>
    <row r="183" spans="1:14">
      <c r="A183" s="4" t="s">
        <v>67</v>
      </c>
      <c r="B183" s="5">
        <v>45689</v>
      </c>
      <c r="C183" s="4" t="s">
        <v>27</v>
      </c>
      <c r="D183" s="4" t="s">
        <v>16</v>
      </c>
      <c r="E183" s="4">
        <v>45209.25</v>
      </c>
      <c r="F183" s="4">
        <v>9287</v>
      </c>
      <c r="G183" s="4">
        <v>0.14099999999999999</v>
      </c>
      <c r="H183" s="4">
        <v>22</v>
      </c>
      <c r="I183" s="4">
        <v>86.4</v>
      </c>
      <c r="J183" s="4">
        <v>13.22</v>
      </c>
      <c r="K183" s="4">
        <v>0</v>
      </c>
      <c r="L183" s="4">
        <v>3.6</v>
      </c>
      <c r="M183" s="4">
        <v>751393.88</v>
      </c>
      <c r="N183" s="4">
        <v>91480.320000000007</v>
      </c>
    </row>
    <row r="184" spans="1:14">
      <c r="A184" s="4" t="s">
        <v>67</v>
      </c>
      <c r="B184" s="5">
        <v>45717</v>
      </c>
      <c r="C184" s="4" t="s">
        <v>27</v>
      </c>
      <c r="D184" s="4" t="s">
        <v>16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 s="4">
        <v>1</v>
      </c>
      <c r="L184" s="4">
        <v>3.8</v>
      </c>
      <c r="M184" s="4">
        <v>761077.08</v>
      </c>
      <c r="N184" s="4">
        <v>113605.93</v>
      </c>
    </row>
    <row r="185" spans="1:14">
      <c r="A185" s="4" t="s">
        <v>67</v>
      </c>
      <c r="B185" s="5">
        <v>45748</v>
      </c>
      <c r="C185" s="4" t="s">
        <v>27</v>
      </c>
      <c r="D185" s="4" t="s">
        <v>16</v>
      </c>
      <c r="E185" s="4">
        <v>57948.88</v>
      </c>
      <c r="F185" s="4">
        <v>10741</v>
      </c>
      <c r="G185" s="4">
        <v>7.0000000000000007E-2</v>
      </c>
      <c r="H185" s="4">
        <v>25</v>
      </c>
      <c r="I185" s="4">
        <v>90.1</v>
      </c>
      <c r="J185" s="4">
        <v>4.03</v>
      </c>
      <c r="K185" s="4">
        <v>0</v>
      </c>
      <c r="L185" s="4">
        <v>3.1</v>
      </c>
      <c r="M185" s="4">
        <v>819660.59</v>
      </c>
      <c r="N185" s="4">
        <v>172699.95</v>
      </c>
    </row>
    <row r="186" spans="1:14">
      <c r="A186" s="4" t="s">
        <v>68</v>
      </c>
      <c r="B186" s="5">
        <v>45658</v>
      </c>
      <c r="C186" s="4" t="s">
        <v>20</v>
      </c>
      <c r="D186" s="4" t="s">
        <v>18</v>
      </c>
      <c r="E186" s="4">
        <v>71941.62</v>
      </c>
      <c r="F186" s="4">
        <v>6084</v>
      </c>
      <c r="G186" s="4">
        <v>7.1999999999999995E-2</v>
      </c>
      <c r="H186" s="4">
        <v>13</v>
      </c>
      <c r="I186" s="4">
        <v>93.7</v>
      </c>
      <c r="J186" s="4">
        <v>2.34</v>
      </c>
      <c r="K186" s="4">
        <v>0</v>
      </c>
      <c r="L186" s="4">
        <v>4.4000000000000004</v>
      </c>
      <c r="M186" s="4">
        <v>681855.56</v>
      </c>
      <c r="N186" s="4">
        <v>117645.61</v>
      </c>
    </row>
    <row r="187" spans="1:14">
      <c r="A187" s="4" t="s">
        <v>68</v>
      </c>
      <c r="B187" s="5">
        <v>45689</v>
      </c>
      <c r="C187" s="4" t="s">
        <v>20</v>
      </c>
      <c r="D187" s="4" t="s">
        <v>18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 s="4">
        <v>0</v>
      </c>
      <c r="L187" s="4">
        <v>4.4000000000000004</v>
      </c>
      <c r="M187" s="4">
        <v>678311.17</v>
      </c>
      <c r="N187" s="4">
        <v>132029.76000000001</v>
      </c>
    </row>
    <row r="188" spans="1:14">
      <c r="A188" s="4" t="s">
        <v>68</v>
      </c>
      <c r="B188" s="5">
        <v>45717</v>
      </c>
      <c r="C188" s="4" t="s">
        <v>20</v>
      </c>
      <c r="D188" s="4" t="s">
        <v>18</v>
      </c>
      <c r="E188" s="4">
        <v>48031.74</v>
      </c>
      <c r="F188" s="4">
        <v>6516</v>
      </c>
      <c r="G188" s="4">
        <v>6.7000000000000004E-2</v>
      </c>
      <c r="H188" s="4">
        <v>14</v>
      </c>
      <c r="I188" s="4">
        <v>99</v>
      </c>
      <c r="J188" s="4">
        <v>0.48</v>
      </c>
      <c r="K188" s="4">
        <v>1</v>
      </c>
      <c r="L188" s="4">
        <v>4.3</v>
      </c>
      <c r="M188" s="4">
        <v>765906.95</v>
      </c>
      <c r="N188" s="4">
        <v>114005.9</v>
      </c>
    </row>
    <row r="189" spans="1:14">
      <c r="A189" s="4" t="s">
        <v>68</v>
      </c>
      <c r="B189" s="5">
        <v>45748</v>
      </c>
      <c r="C189" s="4" t="s">
        <v>20</v>
      </c>
      <c r="D189" s="4" t="s">
        <v>18</v>
      </c>
      <c r="E189" s="4">
        <v>72784.800000000003</v>
      </c>
      <c r="F189" s="4">
        <v>7932</v>
      </c>
      <c r="G189" s="4">
        <v>9.4E-2</v>
      </c>
      <c r="H189" s="4">
        <v>20</v>
      </c>
      <c r="I189" s="4">
        <v>74.900000000000006</v>
      </c>
      <c r="J189" s="4">
        <v>13.62</v>
      </c>
      <c r="K189" s="4">
        <v>0</v>
      </c>
      <c r="L189" s="4">
        <v>4.2</v>
      </c>
      <c r="M189" s="4">
        <v>712546.38</v>
      </c>
      <c r="N189" s="4">
        <v>101480.04</v>
      </c>
    </row>
    <row r="190" spans="1:14">
      <c r="A190" s="4" t="s">
        <v>69</v>
      </c>
      <c r="B190" s="5">
        <v>45658</v>
      </c>
      <c r="C190" s="4" t="s">
        <v>15</v>
      </c>
      <c r="D190" s="4" t="s">
        <v>18</v>
      </c>
      <c r="E190" s="4">
        <v>71641.899999999994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 s="4">
        <v>0</v>
      </c>
      <c r="L190" s="4">
        <v>4.0999999999999996</v>
      </c>
      <c r="M190" s="4">
        <v>625993.82999999996</v>
      </c>
      <c r="N190" s="4">
        <v>98960.320000000007</v>
      </c>
    </row>
    <row r="191" spans="1:14">
      <c r="A191" s="4" t="s">
        <v>69</v>
      </c>
      <c r="B191" s="5">
        <v>45689</v>
      </c>
      <c r="C191" s="4" t="s">
        <v>15</v>
      </c>
      <c r="D191" s="4" t="s">
        <v>18</v>
      </c>
      <c r="E191" s="4">
        <v>55788.61</v>
      </c>
      <c r="F191" s="4">
        <v>2312</v>
      </c>
      <c r="G191" s="4">
        <v>5.8000000000000003E-2</v>
      </c>
      <c r="H191" s="4">
        <v>10</v>
      </c>
      <c r="I191" s="4">
        <v>91.3</v>
      </c>
      <c r="J191" s="4">
        <v>1.99</v>
      </c>
      <c r="K191" s="4">
        <v>0</v>
      </c>
      <c r="L191" s="4">
        <v>3.8</v>
      </c>
      <c r="M191" s="4">
        <v>550962.93000000005</v>
      </c>
      <c r="N191" s="4">
        <v>97144.58</v>
      </c>
    </row>
    <row r="192" spans="1:14">
      <c r="A192" s="4" t="s">
        <v>69</v>
      </c>
      <c r="B192" s="5">
        <v>45717</v>
      </c>
      <c r="C192" s="4" t="s">
        <v>15</v>
      </c>
      <c r="D192" s="4" t="s">
        <v>18</v>
      </c>
      <c r="E192" s="4">
        <v>37705.879999999997</v>
      </c>
      <c r="F192" s="4">
        <v>1268</v>
      </c>
      <c r="G192" s="4">
        <v>0.25900000000000001</v>
      </c>
      <c r="H192" s="4">
        <v>9</v>
      </c>
      <c r="I192" s="4">
        <v>84.1</v>
      </c>
      <c r="J192" s="4">
        <v>4.7699999999999996</v>
      </c>
      <c r="K192" s="4">
        <v>0</v>
      </c>
      <c r="L192" s="4">
        <v>3.8</v>
      </c>
      <c r="M192" s="4">
        <v>443275.59</v>
      </c>
      <c r="N192" s="4">
        <v>53544.36</v>
      </c>
    </row>
    <row r="193" spans="1:14">
      <c r="A193" s="4" t="s">
        <v>69</v>
      </c>
      <c r="B193" s="5">
        <v>45748</v>
      </c>
      <c r="C193" s="4" t="s">
        <v>15</v>
      </c>
      <c r="D193" s="4" t="s">
        <v>18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 s="4">
        <v>0</v>
      </c>
      <c r="L193" s="4">
        <v>4.4000000000000004</v>
      </c>
      <c r="M193" s="4">
        <v>554012.06999999995</v>
      </c>
      <c r="N193" s="4">
        <v>81101.62</v>
      </c>
    </row>
    <row r="194" spans="1:14">
      <c r="A194" s="4" t="s">
        <v>70</v>
      </c>
      <c r="B194" s="5">
        <v>45658</v>
      </c>
      <c r="C194" s="4" t="s">
        <v>27</v>
      </c>
      <c r="D194" s="4" t="s">
        <v>16</v>
      </c>
      <c r="E194" s="4">
        <v>81796.740000000005</v>
      </c>
      <c r="F194" s="4">
        <v>6177</v>
      </c>
      <c r="G194" s="4">
        <v>0.16400000000000001</v>
      </c>
      <c r="H194" s="4">
        <v>14</v>
      </c>
      <c r="I194" s="4">
        <v>87.9</v>
      </c>
      <c r="J194" s="4">
        <v>0.53</v>
      </c>
      <c r="K194" s="4">
        <v>0</v>
      </c>
      <c r="L194" s="4">
        <v>3.2</v>
      </c>
      <c r="M194" s="4">
        <v>643428.85</v>
      </c>
      <c r="N194" s="4">
        <v>94477.63</v>
      </c>
    </row>
    <row r="195" spans="1:14">
      <c r="A195" s="4" t="s">
        <v>70</v>
      </c>
      <c r="B195" s="5">
        <v>45689</v>
      </c>
      <c r="C195" s="4" t="s">
        <v>27</v>
      </c>
      <c r="D195" s="4" t="s">
        <v>16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 s="4">
        <v>0</v>
      </c>
      <c r="L195" s="4">
        <v>3.2</v>
      </c>
      <c r="M195" s="4">
        <v>611924.27</v>
      </c>
      <c r="N195" s="4">
        <v>115488.75</v>
      </c>
    </row>
    <row r="196" spans="1:14">
      <c r="A196" s="4" t="s">
        <v>70</v>
      </c>
      <c r="B196" s="5">
        <v>45717</v>
      </c>
      <c r="C196" s="4" t="s">
        <v>27</v>
      </c>
      <c r="D196" s="4" t="s">
        <v>16</v>
      </c>
      <c r="E196" s="4">
        <v>40220.18</v>
      </c>
      <c r="F196" s="4">
        <v>3783</v>
      </c>
      <c r="G196" s="4">
        <v>8.8999999999999996E-2</v>
      </c>
      <c r="H196" s="4">
        <v>14</v>
      </c>
      <c r="I196" s="4">
        <v>86.6</v>
      </c>
      <c r="J196" s="4">
        <v>3.63</v>
      </c>
      <c r="K196" s="4">
        <v>0</v>
      </c>
      <c r="L196" s="4">
        <v>3.7</v>
      </c>
      <c r="M196" s="4">
        <v>559422.02</v>
      </c>
      <c r="N196" s="4">
        <v>73528.740000000005</v>
      </c>
    </row>
    <row r="197" spans="1:14">
      <c r="A197" s="4" t="s">
        <v>70</v>
      </c>
      <c r="B197" s="5">
        <v>45748</v>
      </c>
      <c r="C197" s="4" t="s">
        <v>27</v>
      </c>
      <c r="D197" s="4" t="s">
        <v>16</v>
      </c>
      <c r="E197" s="4">
        <v>41657.64</v>
      </c>
      <c r="F197" s="4">
        <v>3135</v>
      </c>
      <c r="G197" s="4">
        <v>0.22900000000000001</v>
      </c>
      <c r="H197" s="4">
        <v>7</v>
      </c>
      <c r="I197" s="4">
        <v>85.4</v>
      </c>
      <c r="J197" s="4">
        <v>13.48</v>
      </c>
      <c r="K197" s="4">
        <v>0</v>
      </c>
      <c r="L197" s="4"/>
      <c r="M197" s="4">
        <v>449465.06</v>
      </c>
      <c r="N197" s="4">
        <v>65694.78</v>
      </c>
    </row>
    <row r="198" spans="1:14">
      <c r="A198" s="4" t="s">
        <v>71</v>
      </c>
      <c r="B198" s="5">
        <v>45658</v>
      </c>
      <c r="C198" s="4" t="s">
        <v>20</v>
      </c>
      <c r="D198" s="4" t="s">
        <v>16</v>
      </c>
      <c r="E198" s="4">
        <v>71851.45</v>
      </c>
      <c r="F198" s="4">
        <v>4970</v>
      </c>
      <c r="G198" s="4">
        <v>9.8000000000000004E-2</v>
      </c>
      <c r="H198" s="4">
        <v>11</v>
      </c>
      <c r="I198" s="4">
        <v>89.6</v>
      </c>
      <c r="J198" s="4">
        <v>0.2</v>
      </c>
      <c r="K198" s="4">
        <v>0</v>
      </c>
      <c r="L198" s="4">
        <v>4.2</v>
      </c>
      <c r="M198" s="4">
        <v>691447.43</v>
      </c>
      <c r="N198" s="4">
        <v>114077.69</v>
      </c>
    </row>
    <row r="199" spans="1:14">
      <c r="A199" s="4" t="s">
        <v>71</v>
      </c>
      <c r="B199" s="5">
        <v>45689</v>
      </c>
      <c r="C199" s="4" t="s">
        <v>20</v>
      </c>
      <c r="D199" s="4" t="s">
        <v>16</v>
      </c>
      <c r="E199" s="4">
        <v>54002.83</v>
      </c>
      <c r="F199" s="4">
        <v>4366</v>
      </c>
      <c r="G199" s="4">
        <v>2.7E-2</v>
      </c>
      <c r="H199" s="4">
        <v>15</v>
      </c>
      <c r="I199" s="4">
        <v>90.6</v>
      </c>
      <c r="J199" s="4">
        <v>12.82</v>
      </c>
      <c r="K199" s="4">
        <v>0</v>
      </c>
      <c r="L199" s="4">
        <v>4.5999999999999996</v>
      </c>
      <c r="M199" s="4">
        <v>574066.61</v>
      </c>
      <c r="N199" s="4">
        <v>124674.67</v>
      </c>
    </row>
    <row r="200" spans="1:14">
      <c r="A200" s="4" t="s">
        <v>71</v>
      </c>
      <c r="B200" s="5">
        <v>45717</v>
      </c>
      <c r="C200" s="4" t="s">
        <v>20</v>
      </c>
      <c r="D200" s="4" t="s">
        <v>16</v>
      </c>
      <c r="E200" s="4">
        <v>54479.33</v>
      </c>
      <c r="F200" s="4">
        <v>5012</v>
      </c>
      <c r="G200" s="4">
        <v>0.28399999999999997</v>
      </c>
      <c r="H200" s="4">
        <v>13</v>
      </c>
      <c r="I200" s="4">
        <v>86</v>
      </c>
      <c r="J200" s="4">
        <v>2.2400000000000002</v>
      </c>
      <c r="K200" s="4">
        <v>1</v>
      </c>
      <c r="L200" s="4">
        <v>4.3</v>
      </c>
      <c r="M200" s="4">
        <v>578949.84</v>
      </c>
      <c r="N200" s="4">
        <v>80253.649999999994</v>
      </c>
    </row>
    <row r="201" spans="1:14">
      <c r="A201" s="4" t="s">
        <v>71</v>
      </c>
      <c r="B201" s="5">
        <v>45748</v>
      </c>
      <c r="C201" s="4" t="s">
        <v>20</v>
      </c>
      <c r="D201" s="4" t="s">
        <v>16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 s="4">
        <v>0</v>
      </c>
      <c r="L201" s="4">
        <v>4.8</v>
      </c>
      <c r="M201" s="4">
        <v>735786.64</v>
      </c>
      <c r="N201" s="4">
        <v>126540.66</v>
      </c>
    </row>
    <row r="202" spans="1:14">
      <c r="A202" s="4" t="s">
        <v>72</v>
      </c>
      <c r="B202" s="5">
        <v>45658</v>
      </c>
      <c r="C202" s="4" t="s">
        <v>15</v>
      </c>
      <c r="D202" s="4" t="s">
        <v>21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 s="4">
        <v>1</v>
      </c>
      <c r="L202" s="4">
        <v>4.5999999999999996</v>
      </c>
      <c r="M202" s="4">
        <v>598904.9</v>
      </c>
      <c r="N202" s="4">
        <v>72861</v>
      </c>
    </row>
    <row r="203" spans="1:14">
      <c r="A203" s="4" t="s">
        <v>72</v>
      </c>
      <c r="B203" s="5">
        <v>45689</v>
      </c>
      <c r="C203" s="4" t="s">
        <v>15</v>
      </c>
      <c r="D203" s="4" t="s">
        <v>21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 s="4">
        <v>0</v>
      </c>
      <c r="L203" s="4">
        <v>4.8</v>
      </c>
      <c r="M203" s="4">
        <v>787715.51</v>
      </c>
      <c r="N203" s="4">
        <v>128969.62</v>
      </c>
    </row>
    <row r="204" spans="1:14">
      <c r="A204" s="4" t="s">
        <v>72</v>
      </c>
      <c r="B204" s="5">
        <v>45717</v>
      </c>
      <c r="C204" s="4" t="s">
        <v>15</v>
      </c>
      <c r="D204" s="4" t="s">
        <v>21</v>
      </c>
      <c r="E204" s="4">
        <v>35203.230000000003</v>
      </c>
      <c r="F204" s="4">
        <v>6896</v>
      </c>
      <c r="G204" s="4">
        <v>3.2000000000000001E-2</v>
      </c>
      <c r="H204" s="4">
        <v>14</v>
      </c>
      <c r="I204" s="4">
        <v>80.8</v>
      </c>
      <c r="J204" s="4">
        <v>8.44</v>
      </c>
      <c r="K204" s="4">
        <v>1</v>
      </c>
      <c r="L204" s="4">
        <v>5</v>
      </c>
      <c r="M204" s="4">
        <v>607084.92000000004</v>
      </c>
      <c r="N204" s="4">
        <v>98558.49</v>
      </c>
    </row>
    <row r="205" spans="1:14">
      <c r="A205" s="4" t="s">
        <v>72</v>
      </c>
      <c r="B205" s="5">
        <v>45748</v>
      </c>
      <c r="C205" s="4" t="s">
        <v>15</v>
      </c>
      <c r="D205" s="4" t="s">
        <v>21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 s="4">
        <v>0</v>
      </c>
      <c r="L205" s="4">
        <v>4</v>
      </c>
      <c r="M205" s="4">
        <v>650795.49</v>
      </c>
      <c r="N205" s="4">
        <v>103035.89</v>
      </c>
    </row>
    <row r="206" spans="1:14">
      <c r="A206" s="4" t="s">
        <v>73</v>
      </c>
      <c r="B206" s="5">
        <v>45658</v>
      </c>
      <c r="C206" s="4" t="s">
        <v>15</v>
      </c>
      <c r="D206" s="4" t="s">
        <v>28</v>
      </c>
      <c r="E206" s="4">
        <v>92090.14</v>
      </c>
      <c r="F206" s="4">
        <v>9476</v>
      </c>
      <c r="G206" s="4">
        <v>7.0000000000000007E-2</v>
      </c>
      <c r="H206" s="4">
        <v>24</v>
      </c>
      <c r="I206" s="4">
        <v>94.3</v>
      </c>
      <c r="J206" s="4">
        <v>0.87</v>
      </c>
      <c r="K206" s="4">
        <v>0</v>
      </c>
      <c r="L206" s="4">
        <v>3.7</v>
      </c>
      <c r="M206" s="4">
        <v>825060.52</v>
      </c>
      <c r="N206" s="4">
        <v>143613.15</v>
      </c>
    </row>
    <row r="207" spans="1:14">
      <c r="A207" s="4" t="s">
        <v>73</v>
      </c>
      <c r="B207" s="5">
        <v>45689</v>
      </c>
      <c r="C207" s="4" t="s">
        <v>15</v>
      </c>
      <c r="D207" s="4" t="s">
        <v>28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 s="4">
        <v>0</v>
      </c>
      <c r="L207" s="4">
        <v>3.7</v>
      </c>
      <c r="M207" s="4">
        <v>795464.47</v>
      </c>
      <c r="N207" s="4">
        <v>161150.51999999999</v>
      </c>
    </row>
    <row r="208" spans="1:14">
      <c r="A208" s="4" t="s">
        <v>73</v>
      </c>
      <c r="B208" s="5">
        <v>45717</v>
      </c>
      <c r="C208" s="4" t="s">
        <v>15</v>
      </c>
      <c r="D208" s="4" t="s">
        <v>28</v>
      </c>
      <c r="E208" s="4">
        <v>37983.35</v>
      </c>
      <c r="F208" s="4">
        <v>9283</v>
      </c>
      <c r="G208" s="4">
        <v>0.14899999999999999</v>
      </c>
      <c r="H208" s="4">
        <v>19</v>
      </c>
      <c r="I208" s="4">
        <v>83.2</v>
      </c>
      <c r="J208" s="4">
        <v>3.82</v>
      </c>
      <c r="K208" s="4">
        <v>0</v>
      </c>
      <c r="L208" s="4">
        <v>3.7</v>
      </c>
      <c r="M208" s="4">
        <v>671868.59</v>
      </c>
      <c r="N208" s="4">
        <v>71003.28</v>
      </c>
    </row>
    <row r="209" spans="1:14">
      <c r="A209" s="4" t="s">
        <v>73</v>
      </c>
      <c r="B209" s="5">
        <v>45748</v>
      </c>
      <c r="C209" s="4" t="s">
        <v>15</v>
      </c>
      <c r="D209" s="4" t="s">
        <v>28</v>
      </c>
      <c r="E209" s="4">
        <v>56413.83</v>
      </c>
      <c r="F209" s="4">
        <v>8303</v>
      </c>
      <c r="G209" s="4">
        <v>0.11600000000000001</v>
      </c>
      <c r="H209" s="4">
        <v>18</v>
      </c>
      <c r="I209" s="4">
        <v>93.6</v>
      </c>
      <c r="J209" s="4">
        <v>2.7</v>
      </c>
      <c r="K209" s="4">
        <v>0</v>
      </c>
      <c r="L209" s="4">
        <v>3.7</v>
      </c>
      <c r="M209" s="4">
        <v>675917.63</v>
      </c>
      <c r="N209" s="4">
        <v>112564.75</v>
      </c>
    </row>
    <row r="210" spans="1:14">
      <c r="A210" s="4" t="s">
        <v>74</v>
      </c>
      <c r="B210" s="5">
        <v>45658</v>
      </c>
      <c r="C210" s="4" t="s">
        <v>15</v>
      </c>
      <c r="D210" s="4" t="s">
        <v>18</v>
      </c>
      <c r="E210" s="4">
        <v>63457.19</v>
      </c>
      <c r="F210" s="4">
        <v>10125</v>
      </c>
      <c r="G210" s="4">
        <v>9.7000000000000003E-2</v>
      </c>
      <c r="H210" s="4">
        <v>24</v>
      </c>
      <c r="I210" s="4">
        <v>87</v>
      </c>
      <c r="J210" s="4">
        <v>3.84</v>
      </c>
      <c r="K210" s="4">
        <v>1</v>
      </c>
      <c r="L210" s="4">
        <v>3.7</v>
      </c>
      <c r="M210" s="4">
        <v>810446.53</v>
      </c>
      <c r="N210" s="4">
        <v>200575.34</v>
      </c>
    </row>
    <row r="211" spans="1:14">
      <c r="A211" s="4" t="s">
        <v>74</v>
      </c>
      <c r="B211" s="5">
        <v>45689</v>
      </c>
      <c r="C211" s="4" t="s">
        <v>15</v>
      </c>
      <c r="D211" s="4" t="s">
        <v>18</v>
      </c>
      <c r="E211" s="4">
        <v>62949.7</v>
      </c>
      <c r="F211" s="4">
        <v>9458</v>
      </c>
      <c r="G211" s="4">
        <v>0.17100000000000001</v>
      </c>
      <c r="H211" s="4">
        <v>19</v>
      </c>
      <c r="I211" s="4">
        <v>84.9</v>
      </c>
      <c r="J211" s="4">
        <v>5.09</v>
      </c>
      <c r="K211" s="4">
        <v>0</v>
      </c>
      <c r="L211" s="4">
        <v>3.3</v>
      </c>
      <c r="M211" s="4">
        <v>691288.19</v>
      </c>
      <c r="N211" s="4">
        <v>159074.14000000001</v>
      </c>
    </row>
    <row r="212" spans="1:14">
      <c r="A212" s="4" t="s">
        <v>74</v>
      </c>
      <c r="B212" s="5">
        <v>45717</v>
      </c>
      <c r="C212" s="4" t="s">
        <v>15</v>
      </c>
      <c r="D212" s="4" t="s">
        <v>18</v>
      </c>
      <c r="E212" s="4">
        <v>107970.19</v>
      </c>
      <c r="F212" s="4">
        <v>12870</v>
      </c>
      <c r="G212" s="4">
        <v>2.9000000000000001E-2</v>
      </c>
      <c r="H212" s="4">
        <v>31</v>
      </c>
      <c r="I212" s="4">
        <v>91.7</v>
      </c>
      <c r="J212" s="4">
        <v>3.82</v>
      </c>
      <c r="K212" s="4">
        <v>1</v>
      </c>
      <c r="L212" s="4">
        <v>3.7</v>
      </c>
      <c r="M212" s="4">
        <v>946833.54</v>
      </c>
      <c r="N212" s="4">
        <v>184540.31</v>
      </c>
    </row>
    <row r="213" spans="1:14">
      <c r="A213" s="4" t="s">
        <v>74</v>
      </c>
      <c r="B213" s="5">
        <v>45748</v>
      </c>
      <c r="C213" s="4" t="s">
        <v>15</v>
      </c>
      <c r="D213" s="4" t="s">
        <v>18</v>
      </c>
      <c r="E213" s="4">
        <v>49405.75</v>
      </c>
      <c r="F213" s="4">
        <v>9752</v>
      </c>
      <c r="G213" s="4">
        <v>9.2999999999999999E-2</v>
      </c>
      <c r="H213" s="4">
        <v>21</v>
      </c>
      <c r="I213" s="4">
        <v>87</v>
      </c>
      <c r="J213" s="4">
        <v>12.28</v>
      </c>
      <c r="K213" s="4">
        <v>0</v>
      </c>
      <c r="L213" s="4">
        <v>4.0999999999999996</v>
      </c>
      <c r="M213" s="4">
        <v>761963.23</v>
      </c>
      <c r="N213" s="4">
        <v>150113.60999999999</v>
      </c>
    </row>
    <row r="214" spans="1:14">
      <c r="A214" s="4" t="s">
        <v>75</v>
      </c>
      <c r="B214" s="5">
        <v>45658</v>
      </c>
      <c r="C214" s="4" t="s">
        <v>27</v>
      </c>
      <c r="D214" s="4" t="s">
        <v>16</v>
      </c>
      <c r="E214" s="4">
        <v>50887.46</v>
      </c>
      <c r="F214" s="4">
        <v>9505</v>
      </c>
      <c r="G214" s="4">
        <v>9.0999999999999998E-2</v>
      </c>
      <c r="H214" s="4">
        <v>25</v>
      </c>
      <c r="I214" s="4">
        <v>89.7</v>
      </c>
      <c r="J214" s="4">
        <v>2.8</v>
      </c>
      <c r="K214" s="4">
        <v>0</v>
      </c>
      <c r="L214" s="4">
        <v>4.3</v>
      </c>
      <c r="M214" s="4">
        <v>812152.6</v>
      </c>
      <c r="N214" s="4">
        <v>138419.43</v>
      </c>
    </row>
    <row r="215" spans="1:14">
      <c r="A215" s="4" t="s">
        <v>75</v>
      </c>
      <c r="B215" s="5">
        <v>45689</v>
      </c>
      <c r="C215" s="4" t="s">
        <v>27</v>
      </c>
      <c r="D215" s="4" t="s">
        <v>16</v>
      </c>
      <c r="E215" s="4">
        <v>41819.449999999997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 s="4">
        <v>0</v>
      </c>
      <c r="L215" s="4">
        <v>4.2</v>
      </c>
      <c r="M215" s="4">
        <v>804975.5</v>
      </c>
      <c r="N215" s="4">
        <v>140054.5</v>
      </c>
    </row>
    <row r="216" spans="1:14">
      <c r="A216" s="4" t="s">
        <v>75</v>
      </c>
      <c r="B216" s="5">
        <v>45717</v>
      </c>
      <c r="C216" s="4" t="s">
        <v>27</v>
      </c>
      <c r="D216" s="4" t="s">
        <v>16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 s="4">
        <v>0</v>
      </c>
      <c r="L216" s="4">
        <v>4.7</v>
      </c>
      <c r="M216" s="4">
        <v>752321.72</v>
      </c>
      <c r="N216" s="4">
        <v>137788.51</v>
      </c>
    </row>
    <row r="217" spans="1:14">
      <c r="A217" s="4" t="s">
        <v>75</v>
      </c>
      <c r="B217" s="5">
        <v>45748</v>
      </c>
      <c r="C217" s="4" t="s">
        <v>27</v>
      </c>
      <c r="D217" s="4" t="s">
        <v>16</v>
      </c>
      <c r="E217" s="4">
        <v>47391.09</v>
      </c>
      <c r="F217" s="4">
        <v>11224</v>
      </c>
      <c r="G217" s="4">
        <v>0.14699999999999999</v>
      </c>
      <c r="H217" s="4">
        <v>25</v>
      </c>
      <c r="I217" s="4">
        <v>88.4</v>
      </c>
      <c r="J217" s="4">
        <v>2.44</v>
      </c>
      <c r="K217" s="4">
        <v>0</v>
      </c>
      <c r="L217" s="4">
        <v>4.9000000000000004</v>
      </c>
      <c r="M217" s="4">
        <v>836908.24</v>
      </c>
      <c r="N217" s="4">
        <v>141090.26</v>
      </c>
    </row>
    <row r="218" spans="1:14">
      <c r="A218" s="4" t="s">
        <v>76</v>
      </c>
      <c r="B218" s="5">
        <v>45658</v>
      </c>
      <c r="C218" s="4" t="s">
        <v>20</v>
      </c>
      <c r="D218" s="4" t="s">
        <v>21</v>
      </c>
      <c r="E218" s="4">
        <v>69180.539999999994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 s="4">
        <v>0</v>
      </c>
      <c r="L218" s="4">
        <v>3.3</v>
      </c>
      <c r="M218" s="4">
        <v>674289.1</v>
      </c>
      <c r="N218" s="4">
        <v>117773.79</v>
      </c>
    </row>
    <row r="219" spans="1:14">
      <c r="A219" s="4" t="s">
        <v>76</v>
      </c>
      <c r="B219" s="5">
        <v>45689</v>
      </c>
      <c r="C219" s="4" t="s">
        <v>20</v>
      </c>
      <c r="D219" s="4" t="s">
        <v>21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 s="4">
        <v>0</v>
      </c>
      <c r="L219" s="4">
        <v>3.9</v>
      </c>
      <c r="M219" s="4">
        <v>622892.42000000004</v>
      </c>
      <c r="N219" s="4">
        <v>101032.52</v>
      </c>
    </row>
    <row r="220" spans="1:14">
      <c r="A220" s="4" t="s">
        <v>76</v>
      </c>
      <c r="B220" s="5">
        <v>45717</v>
      </c>
      <c r="C220" s="4" t="s">
        <v>20</v>
      </c>
      <c r="D220" s="4" t="s">
        <v>21</v>
      </c>
      <c r="E220" s="4">
        <v>58785.33</v>
      </c>
      <c r="F220" s="4">
        <v>4467</v>
      </c>
      <c r="G220" s="4">
        <v>0.22900000000000001</v>
      </c>
      <c r="H220" s="4">
        <v>14</v>
      </c>
      <c r="I220" s="4">
        <v>90.7</v>
      </c>
      <c r="J220" s="4">
        <v>1.92</v>
      </c>
      <c r="K220" s="4">
        <v>0</v>
      </c>
      <c r="L220" s="4">
        <v>3.7</v>
      </c>
      <c r="M220" s="4">
        <v>673348.56</v>
      </c>
      <c r="N220" s="4">
        <v>69464.59</v>
      </c>
    </row>
    <row r="221" spans="1:14">
      <c r="A221" s="4" t="s">
        <v>76</v>
      </c>
      <c r="B221" s="5">
        <v>45748</v>
      </c>
      <c r="C221" s="4" t="s">
        <v>20</v>
      </c>
      <c r="D221" s="4" t="s">
        <v>21</v>
      </c>
      <c r="E221" s="4">
        <v>16451.849999999999</v>
      </c>
      <c r="F221" s="4">
        <v>4678</v>
      </c>
      <c r="G221" s="4">
        <v>0.13300000000000001</v>
      </c>
      <c r="H221" s="4">
        <v>11</v>
      </c>
      <c r="I221" s="4">
        <v>95.9</v>
      </c>
      <c r="J221" s="4">
        <v>3.1</v>
      </c>
      <c r="K221" s="4">
        <v>0</v>
      </c>
      <c r="L221" s="4">
        <v>3.9</v>
      </c>
      <c r="M221" s="4">
        <v>606278.30000000005</v>
      </c>
      <c r="N221" s="4">
        <v>102213.26</v>
      </c>
    </row>
    <row r="222" spans="1:14">
      <c r="A222" s="4" t="s">
        <v>77</v>
      </c>
      <c r="B222" s="5">
        <v>45658</v>
      </c>
      <c r="C222" s="4" t="s">
        <v>15</v>
      </c>
      <c r="D222" s="4" t="s">
        <v>18</v>
      </c>
      <c r="E222" s="4">
        <v>53367.73</v>
      </c>
      <c r="F222" s="4">
        <v>7291</v>
      </c>
      <c r="G222" s="4">
        <v>0.14599999999999999</v>
      </c>
      <c r="H222" s="4">
        <v>18</v>
      </c>
      <c r="I222" s="4">
        <v>90.6</v>
      </c>
      <c r="J222" s="4">
        <v>6.34</v>
      </c>
      <c r="K222" s="4">
        <v>1</v>
      </c>
      <c r="L222" s="4">
        <v>3.8</v>
      </c>
      <c r="M222" s="4">
        <v>712219.81</v>
      </c>
      <c r="N222" s="4">
        <v>85906.54</v>
      </c>
    </row>
    <row r="223" spans="1:14">
      <c r="A223" s="4" t="s">
        <v>77</v>
      </c>
      <c r="B223" s="5">
        <v>45689</v>
      </c>
      <c r="C223" s="4" t="s">
        <v>15</v>
      </c>
      <c r="D223" s="4" t="s">
        <v>18</v>
      </c>
      <c r="E223" s="4">
        <v>27194.639999999999</v>
      </c>
      <c r="F223" s="4">
        <v>7404</v>
      </c>
      <c r="G223" s="4">
        <v>8.7999999999999995E-2</v>
      </c>
      <c r="H223" s="4">
        <v>18</v>
      </c>
      <c r="I223" s="4">
        <v>90.2</v>
      </c>
      <c r="J223" s="4">
        <v>1.2</v>
      </c>
      <c r="K223" s="4">
        <v>0</v>
      </c>
      <c r="L223" s="4">
        <v>3.4</v>
      </c>
      <c r="M223" s="4">
        <v>672670.54</v>
      </c>
      <c r="N223" s="4">
        <v>132684.18</v>
      </c>
    </row>
    <row r="224" spans="1:14">
      <c r="A224" s="4" t="s">
        <v>77</v>
      </c>
      <c r="B224" s="5">
        <v>45717</v>
      </c>
      <c r="C224" s="4" t="s">
        <v>15</v>
      </c>
      <c r="D224" s="4" t="s">
        <v>18</v>
      </c>
      <c r="E224" s="4">
        <v>66962.740000000005</v>
      </c>
      <c r="F224" s="4">
        <v>7880</v>
      </c>
      <c r="G224" s="4">
        <v>0.11600000000000001</v>
      </c>
      <c r="H224" s="4">
        <v>19</v>
      </c>
      <c r="I224" s="4">
        <v>90.4</v>
      </c>
      <c r="J224" s="4">
        <v>4.5</v>
      </c>
      <c r="K224" s="4">
        <v>0</v>
      </c>
      <c r="L224" s="4">
        <v>3.3</v>
      </c>
      <c r="M224" s="4">
        <v>732667.92</v>
      </c>
      <c r="N224" s="4">
        <v>128654.46</v>
      </c>
    </row>
    <row r="225" spans="1:14">
      <c r="A225" s="4" t="s">
        <v>77</v>
      </c>
      <c r="B225" s="5">
        <v>45748</v>
      </c>
      <c r="C225" s="4" t="s">
        <v>15</v>
      </c>
      <c r="D225" s="4" t="s">
        <v>18</v>
      </c>
      <c r="E225" s="4">
        <v>73540.990000000005</v>
      </c>
      <c r="F225" s="4">
        <v>8773</v>
      </c>
      <c r="G225" s="4">
        <v>3.5000000000000003E-2</v>
      </c>
      <c r="H225" s="4">
        <v>21</v>
      </c>
      <c r="I225" s="4">
        <v>84.4</v>
      </c>
      <c r="J225" s="4">
        <v>6.68</v>
      </c>
      <c r="K225" s="4">
        <v>0</v>
      </c>
      <c r="L225" s="4">
        <v>3.6</v>
      </c>
      <c r="M225" s="4">
        <v>723531.4</v>
      </c>
      <c r="N225" s="4">
        <v>108794.85</v>
      </c>
    </row>
    <row r="226" spans="1:14">
      <c r="A226" s="4" t="s">
        <v>78</v>
      </c>
      <c r="B226" s="5">
        <v>45658</v>
      </c>
      <c r="C226" s="4" t="s">
        <v>15</v>
      </c>
      <c r="D226" s="4" t="s">
        <v>28</v>
      </c>
      <c r="E226" s="4">
        <v>68212.289999999994</v>
      </c>
      <c r="F226" s="4">
        <v>4713</v>
      </c>
      <c r="G226" s="4">
        <v>0.19800000000000001</v>
      </c>
      <c r="H226" s="4">
        <v>15</v>
      </c>
      <c r="I226" s="4">
        <v>82.6</v>
      </c>
      <c r="J226" s="4">
        <v>4.07</v>
      </c>
      <c r="K226" s="4">
        <v>1</v>
      </c>
      <c r="L226" s="4">
        <v>3</v>
      </c>
      <c r="M226" s="4">
        <v>641564.6</v>
      </c>
      <c r="N226" s="4">
        <v>90468.96</v>
      </c>
    </row>
    <row r="227" spans="1:14">
      <c r="A227" s="4" t="s">
        <v>78</v>
      </c>
      <c r="B227" s="5">
        <v>45689</v>
      </c>
      <c r="C227" s="4" t="s">
        <v>15</v>
      </c>
      <c r="D227" s="4" t="s">
        <v>28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 s="4">
        <v>0</v>
      </c>
      <c r="L227" s="4">
        <v>3.4</v>
      </c>
      <c r="M227" s="4">
        <v>536545.49</v>
      </c>
      <c r="N227" s="4">
        <v>97917.45</v>
      </c>
    </row>
    <row r="228" spans="1:14">
      <c r="A228" s="4" t="s">
        <v>78</v>
      </c>
      <c r="B228" s="5">
        <v>45717</v>
      </c>
      <c r="C228" s="4" t="s">
        <v>15</v>
      </c>
      <c r="D228" s="4" t="s">
        <v>28</v>
      </c>
      <c r="E228" s="4">
        <v>42932.02</v>
      </c>
      <c r="F228" s="4">
        <v>3872</v>
      </c>
      <c r="G228" s="4">
        <v>0.17100000000000001</v>
      </c>
      <c r="H228" s="4">
        <v>12</v>
      </c>
      <c r="I228" s="4">
        <v>83.2</v>
      </c>
      <c r="J228" s="4">
        <v>15.58</v>
      </c>
      <c r="K228" s="4">
        <v>0</v>
      </c>
      <c r="L228" s="4">
        <v>3.3</v>
      </c>
      <c r="M228" s="4">
        <v>527681.56000000006</v>
      </c>
      <c r="N228" s="4">
        <v>63153.05</v>
      </c>
    </row>
    <row r="229" spans="1:14">
      <c r="A229" s="4" t="s">
        <v>78</v>
      </c>
      <c r="B229" s="5">
        <v>45748</v>
      </c>
      <c r="C229" s="4" t="s">
        <v>15</v>
      </c>
      <c r="D229" s="4" t="s">
        <v>28</v>
      </c>
      <c r="E229" s="4">
        <v>39341.449999999997</v>
      </c>
      <c r="F229" s="4">
        <v>1375</v>
      </c>
      <c r="G229" s="4">
        <v>9.2999999999999999E-2</v>
      </c>
      <c r="H229" s="4">
        <v>5</v>
      </c>
      <c r="I229" s="4">
        <v>95</v>
      </c>
      <c r="J229" s="4">
        <v>5.32</v>
      </c>
      <c r="K229" s="4">
        <v>0</v>
      </c>
      <c r="L229" s="4"/>
      <c r="M229" s="4">
        <v>529598.93999999994</v>
      </c>
      <c r="N229" s="4">
        <v>84334.33</v>
      </c>
    </row>
    <row r="230" spans="1:14">
      <c r="A230" s="4" t="s">
        <v>79</v>
      </c>
      <c r="B230" s="5">
        <v>45658</v>
      </c>
      <c r="C230" s="4" t="s">
        <v>15</v>
      </c>
      <c r="D230" s="4" t="s">
        <v>18</v>
      </c>
      <c r="E230" s="4">
        <v>37324.230000000003</v>
      </c>
      <c r="F230" s="4">
        <v>5957</v>
      </c>
      <c r="G230" s="4">
        <v>7.0999999999999994E-2</v>
      </c>
      <c r="H230" s="4">
        <v>12</v>
      </c>
      <c r="I230" s="4">
        <v>85.9</v>
      </c>
      <c r="J230" s="4">
        <v>0.37</v>
      </c>
      <c r="K230" s="4">
        <v>0</v>
      </c>
      <c r="L230" s="4">
        <v>3.8</v>
      </c>
      <c r="M230" s="4">
        <v>570963.31000000006</v>
      </c>
      <c r="N230" s="4">
        <v>87342.25</v>
      </c>
    </row>
    <row r="231" spans="1:14">
      <c r="A231" s="4" t="s">
        <v>79</v>
      </c>
      <c r="B231" s="5">
        <v>45689</v>
      </c>
      <c r="C231" s="4" t="s">
        <v>15</v>
      </c>
      <c r="D231" s="4" t="s">
        <v>18</v>
      </c>
      <c r="E231" s="4">
        <v>113736</v>
      </c>
      <c r="F231" s="4">
        <v>8961</v>
      </c>
      <c r="G231" s="4">
        <v>0.20200000000000001</v>
      </c>
      <c r="H231" s="4">
        <v>24</v>
      </c>
      <c r="I231" s="4">
        <v>86.2</v>
      </c>
      <c r="J231" s="4">
        <v>21.63</v>
      </c>
      <c r="K231" s="4">
        <v>0</v>
      </c>
      <c r="L231" s="4">
        <v>4</v>
      </c>
      <c r="M231" s="4">
        <v>870937.4</v>
      </c>
      <c r="N231" s="4">
        <v>175282.74</v>
      </c>
    </row>
    <row r="232" spans="1:14">
      <c r="A232" s="4" t="s">
        <v>79</v>
      </c>
      <c r="B232" s="5">
        <v>45717</v>
      </c>
      <c r="C232" s="4" t="s">
        <v>15</v>
      </c>
      <c r="D232" s="4" t="s">
        <v>18</v>
      </c>
      <c r="E232" s="4">
        <v>33173.949999999997</v>
      </c>
      <c r="F232" s="4">
        <v>6545</v>
      </c>
      <c r="G232" s="4">
        <v>0.16900000000000001</v>
      </c>
      <c r="H232" s="4">
        <v>15</v>
      </c>
      <c r="I232" s="4">
        <v>84.4</v>
      </c>
      <c r="J232" s="4">
        <v>2.48</v>
      </c>
      <c r="K232" s="4">
        <v>0</v>
      </c>
      <c r="L232" s="4">
        <v>3.9</v>
      </c>
      <c r="M232" s="4">
        <v>596969.27</v>
      </c>
      <c r="N232" s="4">
        <v>105669.51</v>
      </c>
    </row>
    <row r="233" spans="1:14">
      <c r="A233" s="4" t="s">
        <v>79</v>
      </c>
      <c r="B233" s="5">
        <v>45748</v>
      </c>
      <c r="C233" s="4" t="s">
        <v>15</v>
      </c>
      <c r="D233" s="4" t="s">
        <v>18</v>
      </c>
      <c r="E233" s="4">
        <v>25818.080000000002</v>
      </c>
      <c r="F233" s="4">
        <v>5457</v>
      </c>
      <c r="G233" s="4">
        <v>0</v>
      </c>
      <c r="H233" s="4">
        <v>11</v>
      </c>
      <c r="I233" s="4">
        <v>95.4</v>
      </c>
      <c r="J233" s="4"/>
      <c r="K233" s="4">
        <v>0</v>
      </c>
      <c r="L233" s="4">
        <v>3.7</v>
      </c>
      <c r="M233" s="4">
        <v>647512.85</v>
      </c>
      <c r="N233" s="4">
        <v>153835.57</v>
      </c>
    </row>
    <row r="234" spans="1:14">
      <c r="A234" s="4" t="s">
        <v>80</v>
      </c>
      <c r="B234" s="5">
        <v>45658</v>
      </c>
      <c r="C234" s="4" t="s">
        <v>27</v>
      </c>
      <c r="D234" s="4" t="s">
        <v>16</v>
      </c>
      <c r="E234" s="4">
        <v>47241.919999999998</v>
      </c>
      <c r="F234" s="4">
        <v>4264</v>
      </c>
      <c r="G234" s="4">
        <v>6.9000000000000006E-2</v>
      </c>
      <c r="H234" s="4">
        <v>13</v>
      </c>
      <c r="I234" s="4">
        <v>95.3</v>
      </c>
      <c r="J234" s="4">
        <v>0.85</v>
      </c>
      <c r="K234" s="4">
        <v>0</v>
      </c>
      <c r="L234" s="4">
        <v>4.3</v>
      </c>
      <c r="M234" s="4">
        <v>658072.14</v>
      </c>
      <c r="N234" s="4">
        <v>110595.89</v>
      </c>
    </row>
    <row r="235" spans="1:14">
      <c r="A235" s="4" t="s">
        <v>80</v>
      </c>
      <c r="B235" s="5">
        <v>45689</v>
      </c>
      <c r="C235" s="4" t="s">
        <v>27</v>
      </c>
      <c r="D235" s="4" t="s">
        <v>16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 s="4">
        <v>0</v>
      </c>
      <c r="L235" s="4">
        <v>4</v>
      </c>
      <c r="M235" s="4">
        <v>723305.11</v>
      </c>
      <c r="N235" s="4">
        <v>128468.7</v>
      </c>
    </row>
    <row r="236" spans="1:14">
      <c r="A236" s="4" t="s">
        <v>80</v>
      </c>
      <c r="B236" s="5">
        <v>45717</v>
      </c>
      <c r="C236" s="4" t="s">
        <v>27</v>
      </c>
      <c r="D236" s="4" t="s">
        <v>16</v>
      </c>
      <c r="E236" s="4">
        <v>62582.71</v>
      </c>
      <c r="F236" s="4">
        <v>5479</v>
      </c>
      <c r="G236" s="4">
        <v>4.8000000000000001E-2</v>
      </c>
      <c r="H236" s="4">
        <v>16</v>
      </c>
      <c r="I236" s="4">
        <v>81.2</v>
      </c>
      <c r="J236" s="4">
        <v>1.46</v>
      </c>
      <c r="K236" s="4">
        <v>0</v>
      </c>
      <c r="L236" s="4">
        <v>4.5</v>
      </c>
      <c r="M236" s="4">
        <v>640666.53</v>
      </c>
      <c r="N236" s="4">
        <v>134919.16</v>
      </c>
    </row>
    <row r="237" spans="1:14">
      <c r="A237" s="4" t="s">
        <v>80</v>
      </c>
      <c r="B237" s="5">
        <v>45748</v>
      </c>
      <c r="C237" s="4" t="s">
        <v>27</v>
      </c>
      <c r="D237" s="4" t="s">
        <v>16</v>
      </c>
      <c r="E237" s="4">
        <v>47944.14</v>
      </c>
      <c r="F237" s="4">
        <v>6169</v>
      </c>
      <c r="G237" s="4">
        <v>0.11899999999999999</v>
      </c>
      <c r="H237" s="4">
        <v>17</v>
      </c>
      <c r="I237" s="4">
        <v>92.2</v>
      </c>
      <c r="J237" s="4">
        <v>3.02</v>
      </c>
      <c r="K237" s="4">
        <v>0</v>
      </c>
      <c r="L237" s="4">
        <v>4.0999999999999996</v>
      </c>
      <c r="M237" s="4">
        <v>670629.48</v>
      </c>
      <c r="N237" s="4">
        <v>100140.8</v>
      </c>
    </row>
    <row r="238" spans="1:14">
      <c r="A238" s="4" t="s">
        <v>81</v>
      </c>
      <c r="B238" s="5">
        <v>45658</v>
      </c>
      <c r="C238" s="4" t="s">
        <v>27</v>
      </c>
      <c r="D238" s="4" t="s">
        <v>28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 s="4">
        <v>0</v>
      </c>
      <c r="L238" s="4">
        <v>3.7</v>
      </c>
      <c r="M238" s="4">
        <v>721079.35</v>
      </c>
      <c r="N238" s="4">
        <v>115295.05</v>
      </c>
    </row>
    <row r="239" spans="1:14">
      <c r="A239" s="4" t="s">
        <v>81</v>
      </c>
      <c r="B239" s="5">
        <v>45689</v>
      </c>
      <c r="C239" s="4" t="s">
        <v>27</v>
      </c>
      <c r="D239" s="4" t="s">
        <v>28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 s="4">
        <v>0</v>
      </c>
      <c r="L239" s="4">
        <v>3.4</v>
      </c>
      <c r="M239" s="4">
        <v>810355.02</v>
      </c>
      <c r="N239" s="4">
        <v>131510</v>
      </c>
    </row>
    <row r="240" spans="1:14">
      <c r="A240" s="4" t="s">
        <v>81</v>
      </c>
      <c r="B240" s="5">
        <v>45717</v>
      </c>
      <c r="C240" s="4" t="s">
        <v>27</v>
      </c>
      <c r="D240" s="4" t="s">
        <v>28</v>
      </c>
      <c r="E240" s="4">
        <v>59060.05</v>
      </c>
      <c r="F240" s="4">
        <v>9702</v>
      </c>
      <c r="G240" s="4">
        <v>0.20100000000000001</v>
      </c>
      <c r="H240" s="4">
        <v>23</v>
      </c>
      <c r="I240" s="4">
        <v>80.900000000000006</v>
      </c>
      <c r="J240" s="4">
        <v>6.96</v>
      </c>
      <c r="K240" s="4">
        <v>0</v>
      </c>
      <c r="L240" s="4">
        <v>3.2</v>
      </c>
      <c r="M240" s="4">
        <v>761919.25</v>
      </c>
      <c r="N240" s="4">
        <v>111893.06</v>
      </c>
    </row>
    <row r="241" spans="1:14">
      <c r="A241" s="4" t="s">
        <v>81</v>
      </c>
      <c r="B241" s="5">
        <v>45748</v>
      </c>
      <c r="C241" s="4" t="s">
        <v>27</v>
      </c>
      <c r="D241" s="4" t="s">
        <v>28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 s="4">
        <v>0</v>
      </c>
      <c r="L241" s="4">
        <v>3.3</v>
      </c>
      <c r="M241" s="4">
        <v>737070.18</v>
      </c>
      <c r="N241" s="4">
        <v>117593.97</v>
      </c>
    </row>
    <row r="242" spans="1:14">
      <c r="A242" s="4" t="s">
        <v>82</v>
      </c>
      <c r="B242" s="5">
        <v>45658</v>
      </c>
      <c r="C242" s="4" t="s">
        <v>24</v>
      </c>
      <c r="D242" s="4" t="s">
        <v>21</v>
      </c>
      <c r="E242" s="4">
        <v>69900.12</v>
      </c>
      <c r="F242" s="4">
        <v>8055</v>
      </c>
      <c r="G242" s="4">
        <v>0.28100000000000003</v>
      </c>
      <c r="H242" s="4">
        <v>22</v>
      </c>
      <c r="I242" s="4">
        <v>85.6</v>
      </c>
      <c r="J242" s="4">
        <v>10.68</v>
      </c>
      <c r="K242" s="4">
        <v>1</v>
      </c>
      <c r="L242" s="4">
        <v>2.9</v>
      </c>
      <c r="M242" s="4">
        <v>776992.93</v>
      </c>
      <c r="N242" s="4">
        <v>101598.32</v>
      </c>
    </row>
    <row r="243" spans="1:14">
      <c r="A243" s="4" t="s">
        <v>82</v>
      </c>
      <c r="B243" s="5">
        <v>45689</v>
      </c>
      <c r="C243" s="4" t="s">
        <v>24</v>
      </c>
      <c r="D243" s="4" t="s">
        <v>21</v>
      </c>
      <c r="E243" s="4">
        <v>51781.599999999999</v>
      </c>
      <c r="F243" s="4">
        <v>5648</v>
      </c>
      <c r="G243" s="4">
        <v>5.8999999999999997E-2</v>
      </c>
      <c r="H243" s="4">
        <v>13</v>
      </c>
      <c r="I243" s="4">
        <v>85.5</v>
      </c>
      <c r="J243" s="4">
        <v>4.04</v>
      </c>
      <c r="K243" s="4">
        <v>0</v>
      </c>
      <c r="L243" s="4">
        <v>3.7</v>
      </c>
      <c r="M243" s="4">
        <v>676337.41</v>
      </c>
      <c r="N243" s="4">
        <v>104355.77</v>
      </c>
    </row>
    <row r="244" spans="1:14">
      <c r="A244" s="4" t="s">
        <v>82</v>
      </c>
      <c r="B244" s="5">
        <v>45717</v>
      </c>
      <c r="C244" s="4" t="s">
        <v>24</v>
      </c>
      <c r="D244" s="4" t="s">
        <v>21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 s="4">
        <v>0</v>
      </c>
      <c r="L244" s="4">
        <v>3.5</v>
      </c>
      <c r="M244" s="4">
        <v>828219.67</v>
      </c>
      <c r="N244" s="4">
        <v>179806.87</v>
      </c>
    </row>
    <row r="245" spans="1:14">
      <c r="A245" s="4" t="s">
        <v>82</v>
      </c>
      <c r="B245" s="5">
        <v>45748</v>
      </c>
      <c r="C245" s="4" t="s">
        <v>24</v>
      </c>
      <c r="D245" s="4" t="s">
        <v>21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 s="4">
        <v>0</v>
      </c>
      <c r="L245" s="4">
        <v>3</v>
      </c>
      <c r="M245" s="4">
        <v>763159.92</v>
      </c>
      <c r="N245" s="4">
        <v>177104.87</v>
      </c>
    </row>
    <row r="246" spans="1:14">
      <c r="A246" s="4" t="s">
        <v>83</v>
      </c>
      <c r="B246" s="5">
        <v>45658</v>
      </c>
      <c r="C246" s="4" t="s">
        <v>15</v>
      </c>
      <c r="D246" s="4" t="s">
        <v>18</v>
      </c>
      <c r="E246" s="4">
        <v>76942.2</v>
      </c>
      <c r="F246" s="4">
        <v>8934</v>
      </c>
      <c r="G246" s="4">
        <v>8.4000000000000005E-2</v>
      </c>
      <c r="H246" s="4">
        <v>20</v>
      </c>
      <c r="I246" s="4">
        <v>91</v>
      </c>
      <c r="J246" s="4">
        <v>0.95</v>
      </c>
      <c r="K246" s="4">
        <v>0</v>
      </c>
      <c r="L246" s="4">
        <v>3.2</v>
      </c>
      <c r="M246" s="4">
        <v>802001.68</v>
      </c>
      <c r="N246" s="4">
        <v>159715.82</v>
      </c>
    </row>
    <row r="247" spans="1:14">
      <c r="A247" s="4" t="s">
        <v>83</v>
      </c>
      <c r="B247" s="5">
        <v>45689</v>
      </c>
      <c r="C247" s="4" t="s">
        <v>15</v>
      </c>
      <c r="D247" s="4" t="s">
        <v>18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 s="4">
        <v>0</v>
      </c>
      <c r="L247" s="4">
        <v>3.4</v>
      </c>
      <c r="M247" s="4">
        <v>750471.34</v>
      </c>
      <c r="N247" s="4">
        <v>133788.04</v>
      </c>
    </row>
    <row r="248" spans="1:14">
      <c r="A248" s="4" t="s">
        <v>83</v>
      </c>
      <c r="B248" s="5">
        <v>45717</v>
      </c>
      <c r="C248" s="4" t="s">
        <v>15</v>
      </c>
      <c r="D248" s="4" t="s">
        <v>18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 s="4">
        <v>0</v>
      </c>
      <c r="L248" s="4">
        <v>3.1</v>
      </c>
      <c r="M248" s="4">
        <v>679230.86</v>
      </c>
      <c r="N248" s="4">
        <v>106927.58</v>
      </c>
    </row>
    <row r="249" spans="1:14">
      <c r="A249" s="4" t="s">
        <v>83</v>
      </c>
      <c r="B249" s="5">
        <v>45748</v>
      </c>
      <c r="C249" s="4" t="s">
        <v>15</v>
      </c>
      <c r="D249" s="4" t="s">
        <v>18</v>
      </c>
      <c r="E249" s="4">
        <v>21536.18</v>
      </c>
      <c r="F249" s="4">
        <v>8119</v>
      </c>
      <c r="G249" s="4">
        <v>0.22700000000000001</v>
      </c>
      <c r="H249" s="4">
        <v>20</v>
      </c>
      <c r="I249" s="4">
        <v>90.4</v>
      </c>
      <c r="J249" s="4">
        <v>1.7</v>
      </c>
      <c r="K249" s="4">
        <v>0</v>
      </c>
      <c r="L249" s="4">
        <v>3.3</v>
      </c>
      <c r="M249" s="4">
        <v>679888.74</v>
      </c>
      <c r="N249" s="4">
        <v>83406.89</v>
      </c>
    </row>
    <row r="250" spans="1:14">
      <c r="A250" s="4" t="s">
        <v>84</v>
      </c>
      <c r="B250" s="5">
        <v>45658</v>
      </c>
      <c r="C250" s="4" t="s">
        <v>20</v>
      </c>
      <c r="D250" s="4" t="s">
        <v>18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J250" s="4"/>
      <c r="K250" s="4">
        <v>0</v>
      </c>
      <c r="L250" s="4">
        <v>3.8</v>
      </c>
      <c r="M250" s="4">
        <v>606783.67000000004</v>
      </c>
      <c r="N250" s="4">
        <v>74515.87</v>
      </c>
    </row>
    <row r="251" spans="1:14">
      <c r="A251" s="4" t="s">
        <v>84</v>
      </c>
      <c r="B251" s="5">
        <v>45689</v>
      </c>
      <c r="C251" s="4" t="s">
        <v>20</v>
      </c>
      <c r="D251" s="4" t="s">
        <v>18</v>
      </c>
      <c r="E251" s="4">
        <v>72932.55</v>
      </c>
      <c r="F251" s="4">
        <v>5765</v>
      </c>
      <c r="G251" s="4">
        <v>2.5999999999999999E-2</v>
      </c>
      <c r="H251" s="4">
        <v>17</v>
      </c>
      <c r="I251" s="4">
        <v>81.8</v>
      </c>
      <c r="J251" s="4">
        <v>5.0999999999999996</v>
      </c>
      <c r="K251" s="4">
        <v>0</v>
      </c>
      <c r="L251" s="4">
        <v>3.6</v>
      </c>
      <c r="M251" s="4">
        <v>642751.42000000004</v>
      </c>
      <c r="N251" s="4">
        <v>131942.15</v>
      </c>
    </row>
    <row r="252" spans="1:14">
      <c r="A252" s="4" t="s">
        <v>84</v>
      </c>
      <c r="B252" s="5">
        <v>45717</v>
      </c>
      <c r="C252" s="4" t="s">
        <v>20</v>
      </c>
      <c r="D252" s="4" t="s">
        <v>18</v>
      </c>
      <c r="E252" s="4">
        <v>38361.93</v>
      </c>
      <c r="F252" s="4">
        <v>6322</v>
      </c>
      <c r="G252" s="4">
        <v>0.27300000000000002</v>
      </c>
      <c r="H252" s="4">
        <v>15</v>
      </c>
      <c r="I252" s="4">
        <v>88.4</v>
      </c>
      <c r="J252" s="4">
        <v>0.83</v>
      </c>
      <c r="K252" s="4">
        <v>0</v>
      </c>
      <c r="L252" s="4">
        <v>4</v>
      </c>
      <c r="M252" s="4">
        <v>647953.78</v>
      </c>
      <c r="N252" s="4">
        <v>118497.43</v>
      </c>
    </row>
    <row r="253" spans="1:14">
      <c r="A253" s="4" t="s">
        <v>84</v>
      </c>
      <c r="B253" s="5">
        <v>45748</v>
      </c>
      <c r="C253" s="4" t="s">
        <v>20</v>
      </c>
      <c r="D253" s="4" t="s">
        <v>18</v>
      </c>
      <c r="E253" s="4">
        <v>97480.94</v>
      </c>
      <c r="F253" s="4">
        <v>6840</v>
      </c>
      <c r="G253" s="4">
        <v>8.6999999999999994E-2</v>
      </c>
      <c r="H253" s="4">
        <v>14</v>
      </c>
      <c r="I253" s="4">
        <v>79.2</v>
      </c>
      <c r="J253" s="4">
        <v>1.1399999999999999</v>
      </c>
      <c r="K253" s="4">
        <v>0</v>
      </c>
      <c r="L253" s="4">
        <v>4</v>
      </c>
      <c r="M253" s="4">
        <v>729440.45</v>
      </c>
      <c r="N253" s="4">
        <v>87614.29</v>
      </c>
    </row>
    <row r="254" spans="1:14">
      <c r="A254" s="4" t="s">
        <v>85</v>
      </c>
      <c r="B254" s="5">
        <v>45658</v>
      </c>
      <c r="C254" s="4" t="s">
        <v>24</v>
      </c>
      <c r="D254" s="4" t="s">
        <v>21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9.5399999999999991</v>
      </c>
      <c r="K254" s="4">
        <v>0</v>
      </c>
      <c r="L254" s="4">
        <v>3.7</v>
      </c>
      <c r="M254" s="4">
        <v>764949</v>
      </c>
      <c r="N254" s="4">
        <v>148322.43</v>
      </c>
    </row>
    <row r="255" spans="1:14">
      <c r="A255" s="4" t="s">
        <v>85</v>
      </c>
      <c r="B255" s="5">
        <v>45689</v>
      </c>
      <c r="C255" s="4" t="s">
        <v>24</v>
      </c>
      <c r="D255" s="4" t="s">
        <v>21</v>
      </c>
      <c r="E255" s="4">
        <v>63582.11</v>
      </c>
      <c r="F255" s="4">
        <v>6856</v>
      </c>
      <c r="G255" s="4">
        <v>7.3999999999999996E-2</v>
      </c>
      <c r="H255" s="4">
        <v>17</v>
      </c>
      <c r="I255" s="4">
        <v>89.5</v>
      </c>
      <c r="J255" s="4">
        <v>5.48</v>
      </c>
      <c r="K255" s="4">
        <v>0</v>
      </c>
      <c r="L255" s="4">
        <v>3.2</v>
      </c>
      <c r="M255" s="4">
        <v>799046.94</v>
      </c>
      <c r="N255" s="4">
        <v>144553.64000000001</v>
      </c>
    </row>
    <row r="256" spans="1:14">
      <c r="A256" s="4" t="s">
        <v>85</v>
      </c>
      <c r="B256" s="5">
        <v>45717</v>
      </c>
      <c r="C256" s="4" t="s">
        <v>24</v>
      </c>
      <c r="D256" s="4" t="s">
        <v>21</v>
      </c>
      <c r="E256" s="4">
        <v>75412.740000000005</v>
      </c>
      <c r="F256" s="4">
        <v>5641</v>
      </c>
      <c r="G256" s="4">
        <v>5.8999999999999997E-2</v>
      </c>
      <c r="H256" s="4">
        <v>13</v>
      </c>
      <c r="I256" s="4">
        <v>87.9</v>
      </c>
      <c r="J256" s="4">
        <v>0.84</v>
      </c>
      <c r="K256" s="4">
        <v>0</v>
      </c>
      <c r="L256" s="4">
        <v>3.6</v>
      </c>
      <c r="M256" s="4">
        <v>720079.54</v>
      </c>
      <c r="N256" s="4">
        <v>119499.47</v>
      </c>
    </row>
    <row r="257" spans="1:14">
      <c r="A257" s="4" t="s">
        <v>85</v>
      </c>
      <c r="B257" s="5">
        <v>45748</v>
      </c>
      <c r="C257" s="4" t="s">
        <v>24</v>
      </c>
      <c r="D257" s="4" t="s">
        <v>21</v>
      </c>
      <c r="E257" s="4">
        <v>36290.080000000002</v>
      </c>
      <c r="F257" s="4">
        <v>5787</v>
      </c>
      <c r="G257" s="4">
        <v>0</v>
      </c>
      <c r="H257" s="4">
        <v>17</v>
      </c>
      <c r="I257" s="4">
        <v>88.3</v>
      </c>
      <c r="J257" s="4">
        <v>4.1900000000000004</v>
      </c>
      <c r="K257" s="4">
        <v>0</v>
      </c>
      <c r="L257" s="4">
        <v>4.0999999999999996</v>
      </c>
      <c r="M257" s="4">
        <v>612390.14</v>
      </c>
      <c r="N257" s="4">
        <v>108985.74</v>
      </c>
    </row>
    <row r="258" spans="1:14">
      <c r="A258" s="4" t="s">
        <v>86</v>
      </c>
      <c r="B258" s="5">
        <v>45658</v>
      </c>
      <c r="C258" s="4" t="s">
        <v>24</v>
      </c>
      <c r="D258" s="4" t="s">
        <v>28</v>
      </c>
      <c r="E258" s="4">
        <v>65272.58</v>
      </c>
      <c r="F258" s="4">
        <v>8165</v>
      </c>
      <c r="G258" s="4">
        <v>5.0999999999999997E-2</v>
      </c>
      <c r="H258" s="4">
        <v>19</v>
      </c>
      <c r="I258" s="4">
        <v>87.8</v>
      </c>
      <c r="J258" s="4">
        <v>1.26</v>
      </c>
      <c r="K258" s="4">
        <v>1</v>
      </c>
      <c r="L258" s="4">
        <v>4.3</v>
      </c>
      <c r="M258" s="4">
        <v>840108.12</v>
      </c>
      <c r="N258" s="4">
        <v>126587.01</v>
      </c>
    </row>
    <row r="259" spans="1:14">
      <c r="A259" s="4" t="s">
        <v>86</v>
      </c>
      <c r="B259" s="5">
        <v>45689</v>
      </c>
      <c r="C259" s="4" t="s">
        <v>24</v>
      </c>
      <c r="D259" s="4" t="s">
        <v>28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 s="4">
        <v>0</v>
      </c>
      <c r="L259" s="4">
        <v>4.5999999999999996</v>
      </c>
      <c r="M259" s="4">
        <v>697888.09</v>
      </c>
      <c r="N259" s="4">
        <v>116249.87</v>
      </c>
    </row>
    <row r="260" spans="1:14">
      <c r="A260" s="4" t="s">
        <v>86</v>
      </c>
      <c r="B260" s="5">
        <v>45717</v>
      </c>
      <c r="C260" s="4" t="s">
        <v>24</v>
      </c>
      <c r="D260" s="4" t="s">
        <v>28</v>
      </c>
      <c r="E260" s="4">
        <v>44189.34</v>
      </c>
      <c r="F260" s="4">
        <v>8634</v>
      </c>
      <c r="G260" s="4">
        <v>0.14299999999999999</v>
      </c>
      <c r="H260" s="4">
        <v>19</v>
      </c>
      <c r="I260" s="4">
        <v>87.5</v>
      </c>
      <c r="J260" s="4">
        <v>3.69</v>
      </c>
      <c r="K260" s="4">
        <v>0</v>
      </c>
      <c r="L260" s="4">
        <v>4.4000000000000004</v>
      </c>
      <c r="M260" s="4">
        <v>746115.59</v>
      </c>
      <c r="N260" s="4">
        <v>94662.96</v>
      </c>
    </row>
    <row r="261" spans="1:14">
      <c r="A261" s="4" t="s">
        <v>86</v>
      </c>
      <c r="B261" s="5">
        <v>45748</v>
      </c>
      <c r="C261" s="4" t="s">
        <v>24</v>
      </c>
      <c r="D261" s="4" t="s">
        <v>28</v>
      </c>
      <c r="E261" s="4">
        <v>38397.82</v>
      </c>
      <c r="F261" s="4">
        <v>7836</v>
      </c>
      <c r="G261" s="4">
        <v>7.0000000000000001E-3</v>
      </c>
      <c r="H261" s="4">
        <v>21</v>
      </c>
      <c r="I261" s="4">
        <v>92.2</v>
      </c>
      <c r="J261" s="4">
        <v>1.82</v>
      </c>
      <c r="K261" s="4">
        <v>0</v>
      </c>
      <c r="L261" s="4">
        <v>3.6</v>
      </c>
      <c r="M261" s="4">
        <v>776110.32</v>
      </c>
      <c r="N261" s="4">
        <v>139676.21</v>
      </c>
    </row>
    <row r="262" spans="1:14">
      <c r="A262" s="4" t="s">
        <v>87</v>
      </c>
      <c r="B262" s="5">
        <v>45658</v>
      </c>
      <c r="C262" s="4" t="s">
        <v>27</v>
      </c>
      <c r="D262" s="4" t="s">
        <v>18</v>
      </c>
      <c r="E262" s="4">
        <v>14519.37</v>
      </c>
      <c r="F262" s="4">
        <v>3047</v>
      </c>
      <c r="G262" s="4">
        <v>0.13500000000000001</v>
      </c>
      <c r="H262" s="4">
        <v>10</v>
      </c>
      <c r="I262" s="4">
        <v>90.3</v>
      </c>
      <c r="J262" s="4">
        <v>6.62</v>
      </c>
      <c r="K262" s="4">
        <v>0</v>
      </c>
      <c r="L262" s="4">
        <v>4.2</v>
      </c>
      <c r="M262" s="4">
        <v>528852.62</v>
      </c>
      <c r="N262" s="4">
        <v>68426.210000000006</v>
      </c>
    </row>
    <row r="263" spans="1:14">
      <c r="A263" s="4" t="s">
        <v>87</v>
      </c>
      <c r="B263" s="5">
        <v>45689</v>
      </c>
      <c r="C263" s="4" t="s">
        <v>27</v>
      </c>
      <c r="D263" s="4" t="s">
        <v>18</v>
      </c>
      <c r="E263" s="4">
        <v>43288.2</v>
      </c>
      <c r="F263" s="4">
        <v>4783</v>
      </c>
      <c r="G263" s="4">
        <v>0.16900000000000001</v>
      </c>
      <c r="H263" s="4">
        <v>13</v>
      </c>
      <c r="I263" s="4">
        <v>87.3</v>
      </c>
      <c r="J263" s="4"/>
      <c r="K263" s="4">
        <v>0</v>
      </c>
      <c r="L263" s="4">
        <v>4.2</v>
      </c>
      <c r="M263" s="4">
        <v>605751.32999999996</v>
      </c>
      <c r="N263" s="4">
        <v>60685.53</v>
      </c>
    </row>
    <row r="264" spans="1:14">
      <c r="A264" s="4" t="s">
        <v>87</v>
      </c>
      <c r="B264" s="5">
        <v>45717</v>
      </c>
      <c r="C264" s="4" t="s">
        <v>27</v>
      </c>
      <c r="D264" s="4" t="s">
        <v>18</v>
      </c>
      <c r="E264" s="4">
        <v>51450.55</v>
      </c>
      <c r="F264" s="4">
        <v>4902</v>
      </c>
      <c r="G264" s="4">
        <v>8.5999999999999993E-2</v>
      </c>
      <c r="H264" s="4">
        <v>11</v>
      </c>
      <c r="I264" s="4">
        <v>83.7</v>
      </c>
      <c r="J264" s="4">
        <v>6.92</v>
      </c>
      <c r="K264" s="4">
        <v>1</v>
      </c>
      <c r="L264" s="4">
        <v>4.2</v>
      </c>
      <c r="M264" s="4">
        <v>677640.65</v>
      </c>
      <c r="N264" s="4">
        <v>111610.89</v>
      </c>
    </row>
    <row r="265" spans="1:14">
      <c r="A265" s="4" t="s">
        <v>87</v>
      </c>
      <c r="B265" s="5">
        <v>45748</v>
      </c>
      <c r="C265" s="4" t="s">
        <v>27</v>
      </c>
      <c r="D265" s="4" t="s">
        <v>18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 s="4">
        <v>0</v>
      </c>
      <c r="L265" s="4">
        <v>3.7</v>
      </c>
      <c r="M265" s="4">
        <v>636613.23</v>
      </c>
      <c r="N265" s="4">
        <v>78908.350000000006</v>
      </c>
    </row>
    <row r="266" spans="1:14">
      <c r="A266" s="4" t="s">
        <v>88</v>
      </c>
      <c r="B266" s="5">
        <v>45658</v>
      </c>
      <c r="C266" s="4" t="s">
        <v>15</v>
      </c>
      <c r="D266" s="4" t="s">
        <v>18</v>
      </c>
      <c r="E266" s="4">
        <v>58981.91</v>
      </c>
      <c r="F266" s="4">
        <v>7324</v>
      </c>
      <c r="G266" s="4">
        <v>9.4E-2</v>
      </c>
      <c r="H266" s="4">
        <v>15</v>
      </c>
      <c r="I266" s="4">
        <v>95.8</v>
      </c>
      <c r="J266" s="4">
        <v>0.5</v>
      </c>
      <c r="K266" s="4">
        <v>0</v>
      </c>
      <c r="L266" s="4">
        <v>3.5</v>
      </c>
      <c r="M266" s="4">
        <v>708985.19</v>
      </c>
      <c r="N266" s="4">
        <v>125368.16</v>
      </c>
    </row>
    <row r="267" spans="1:14">
      <c r="A267" s="4" t="s">
        <v>88</v>
      </c>
      <c r="B267" s="5">
        <v>45689</v>
      </c>
      <c r="C267" s="4" t="s">
        <v>15</v>
      </c>
      <c r="D267" s="4" t="s">
        <v>18</v>
      </c>
      <c r="E267" s="4">
        <v>73454.539999999994</v>
      </c>
      <c r="F267" s="4">
        <v>8129</v>
      </c>
      <c r="G267" s="4">
        <v>0.21099999999999999</v>
      </c>
      <c r="H267" s="4">
        <v>20</v>
      </c>
      <c r="I267" s="4">
        <v>85.2</v>
      </c>
      <c r="J267" s="4">
        <v>0.88</v>
      </c>
      <c r="K267" s="4">
        <v>0</v>
      </c>
      <c r="L267" s="4">
        <v>3.7</v>
      </c>
      <c r="M267" s="4">
        <v>767792.94</v>
      </c>
      <c r="N267" s="4">
        <v>96235.77</v>
      </c>
    </row>
    <row r="268" spans="1:14">
      <c r="A268" s="4" t="s">
        <v>88</v>
      </c>
      <c r="B268" s="5">
        <v>45717</v>
      </c>
      <c r="C268" s="4" t="s">
        <v>15</v>
      </c>
      <c r="D268" s="4" t="s">
        <v>18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 s="4">
        <v>0</v>
      </c>
      <c r="L268" s="4">
        <v>3.7</v>
      </c>
      <c r="M268" s="4">
        <v>745580.51</v>
      </c>
      <c r="N268" s="4">
        <v>116273.68</v>
      </c>
    </row>
    <row r="269" spans="1:14">
      <c r="A269" s="4" t="s">
        <v>88</v>
      </c>
      <c r="B269" s="5">
        <v>45748</v>
      </c>
      <c r="C269" s="4" t="s">
        <v>15</v>
      </c>
      <c r="D269" s="4" t="s">
        <v>18</v>
      </c>
      <c r="E269" s="4">
        <v>67722.289999999994</v>
      </c>
      <c r="F269" s="4">
        <v>7240</v>
      </c>
      <c r="G269" s="4">
        <v>2.5999999999999999E-2</v>
      </c>
      <c r="H269" s="4">
        <v>15</v>
      </c>
      <c r="I269" s="4">
        <v>92.9</v>
      </c>
      <c r="J269" s="4">
        <v>0.28999999999999998</v>
      </c>
      <c r="K269" s="4">
        <v>0</v>
      </c>
      <c r="L269" s="4">
        <v>3.5</v>
      </c>
      <c r="M269" s="4">
        <v>762328.31</v>
      </c>
      <c r="N269" s="4">
        <v>159158.19</v>
      </c>
    </row>
    <row r="270" spans="1:14">
      <c r="A270" s="4" t="s">
        <v>89</v>
      </c>
      <c r="B270" s="5">
        <v>45658</v>
      </c>
      <c r="C270" s="4" t="s">
        <v>15</v>
      </c>
      <c r="D270" s="4" t="s">
        <v>28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 s="4">
        <v>0</v>
      </c>
      <c r="L270" s="4">
        <v>3.6</v>
      </c>
      <c r="M270" s="4">
        <v>660633.99</v>
      </c>
      <c r="N270" s="4">
        <v>118768.66</v>
      </c>
    </row>
    <row r="271" spans="1:14">
      <c r="A271" s="4" t="s">
        <v>89</v>
      </c>
      <c r="B271" s="5">
        <v>45689</v>
      </c>
      <c r="C271" s="4" t="s">
        <v>15</v>
      </c>
      <c r="D271" s="4" t="s">
        <v>28</v>
      </c>
      <c r="E271" s="4">
        <v>23914.97</v>
      </c>
      <c r="F271" s="4">
        <v>8018</v>
      </c>
      <c r="G271" s="4">
        <v>0.13900000000000001</v>
      </c>
      <c r="H271" s="4">
        <v>20</v>
      </c>
      <c r="I271" s="4">
        <v>89</v>
      </c>
      <c r="J271" s="4">
        <v>0.2</v>
      </c>
      <c r="K271" s="4">
        <v>0</v>
      </c>
      <c r="L271" s="4">
        <v>3.5</v>
      </c>
      <c r="M271" s="4">
        <v>739374.56</v>
      </c>
      <c r="N271" s="4">
        <v>121032.29</v>
      </c>
    </row>
    <row r="272" spans="1:14">
      <c r="A272" s="4" t="s">
        <v>89</v>
      </c>
      <c r="B272" s="5">
        <v>45717</v>
      </c>
      <c r="C272" s="4" t="s">
        <v>15</v>
      </c>
      <c r="D272" s="4" t="s">
        <v>28</v>
      </c>
      <c r="E272" s="4">
        <v>61995.3</v>
      </c>
      <c r="F272" s="4">
        <v>10192</v>
      </c>
      <c r="G272" s="4">
        <v>0.19800000000000001</v>
      </c>
      <c r="H272" s="4">
        <v>21</v>
      </c>
      <c r="I272" s="4">
        <v>87.6</v>
      </c>
      <c r="J272" s="4">
        <v>3.63</v>
      </c>
      <c r="K272" s="4">
        <v>1</v>
      </c>
      <c r="L272" s="4">
        <v>3.8</v>
      </c>
      <c r="M272" s="4">
        <v>799756.46</v>
      </c>
      <c r="N272" s="4">
        <v>105052.93</v>
      </c>
    </row>
    <row r="273" spans="1:14">
      <c r="A273" s="4" t="s">
        <v>89</v>
      </c>
      <c r="B273" s="5">
        <v>45748</v>
      </c>
      <c r="C273" s="4" t="s">
        <v>15</v>
      </c>
      <c r="D273" s="4" t="s">
        <v>28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 s="4">
        <v>0</v>
      </c>
      <c r="L273" s="4">
        <v>3.2</v>
      </c>
      <c r="M273" s="4">
        <v>593343</v>
      </c>
      <c r="N273" s="4">
        <v>82832.240000000005</v>
      </c>
    </row>
    <row r="274" spans="1:14">
      <c r="A274" s="4" t="s">
        <v>90</v>
      </c>
      <c r="B274" s="5">
        <v>45658</v>
      </c>
      <c r="C274" s="4" t="s">
        <v>27</v>
      </c>
      <c r="D274" s="4" t="s">
        <v>18</v>
      </c>
      <c r="E274" s="4">
        <v>50532.17</v>
      </c>
      <c r="F274" s="4">
        <v>5689</v>
      </c>
      <c r="G274" s="4">
        <v>5.1999999999999998E-2</v>
      </c>
      <c r="H274" s="4">
        <v>17</v>
      </c>
      <c r="I274" s="4">
        <v>85.6</v>
      </c>
      <c r="J274" s="4">
        <v>6.23</v>
      </c>
      <c r="K274" s="4">
        <v>0</v>
      </c>
      <c r="L274" s="4">
        <v>3.3</v>
      </c>
      <c r="M274" s="4">
        <v>645039.97</v>
      </c>
      <c r="N274" s="4">
        <v>83093.33</v>
      </c>
    </row>
    <row r="275" spans="1:14">
      <c r="A275" s="4" t="s">
        <v>90</v>
      </c>
      <c r="B275" s="5">
        <v>45689</v>
      </c>
      <c r="C275" s="4" t="s">
        <v>27</v>
      </c>
      <c r="D275" s="4" t="s">
        <v>18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 s="4">
        <v>0</v>
      </c>
      <c r="L275" s="4">
        <v>3.1</v>
      </c>
      <c r="M275" s="4">
        <v>561597.32999999996</v>
      </c>
      <c r="N275" s="4">
        <v>75072.75</v>
      </c>
    </row>
    <row r="276" spans="1:14">
      <c r="A276" s="4" t="s">
        <v>90</v>
      </c>
      <c r="B276" s="5">
        <v>45717</v>
      </c>
      <c r="C276" s="4" t="s">
        <v>27</v>
      </c>
      <c r="D276" s="4" t="s">
        <v>18</v>
      </c>
      <c r="E276" s="4">
        <v>47648.71</v>
      </c>
      <c r="F276" s="4">
        <v>5767</v>
      </c>
      <c r="G276" s="4">
        <v>0.14099999999999999</v>
      </c>
      <c r="H276" s="4">
        <v>17</v>
      </c>
      <c r="I276" s="4">
        <v>89.8</v>
      </c>
      <c r="J276" s="4">
        <v>1.76</v>
      </c>
      <c r="K276" s="4">
        <v>0</v>
      </c>
      <c r="L276" s="4">
        <v>3.1</v>
      </c>
      <c r="M276" s="4">
        <v>635837.74</v>
      </c>
      <c r="N276" s="4">
        <v>114740.64</v>
      </c>
    </row>
    <row r="277" spans="1:14">
      <c r="A277" s="4" t="s">
        <v>90</v>
      </c>
      <c r="B277" s="5">
        <v>45748</v>
      </c>
      <c r="C277" s="4" t="s">
        <v>27</v>
      </c>
      <c r="D277" s="4" t="s">
        <v>18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77.599999999999994</v>
      </c>
      <c r="J277" s="4">
        <v>2.86</v>
      </c>
      <c r="K277" s="4">
        <v>0</v>
      </c>
      <c r="L277" s="4">
        <v>3</v>
      </c>
      <c r="M277" s="4">
        <v>686737.87</v>
      </c>
      <c r="N277" s="4">
        <v>83839.67</v>
      </c>
    </row>
    <row r="278" spans="1:14">
      <c r="A278" s="4" t="s">
        <v>91</v>
      </c>
      <c r="B278" s="5">
        <v>45658</v>
      </c>
      <c r="C278" s="4" t="s">
        <v>24</v>
      </c>
      <c r="D278" s="4" t="s">
        <v>16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 s="4">
        <v>1</v>
      </c>
      <c r="L278" s="4">
        <v>3.4</v>
      </c>
      <c r="M278" s="4">
        <v>673076.34</v>
      </c>
      <c r="N278" s="4">
        <v>93899.76</v>
      </c>
    </row>
    <row r="279" spans="1:14">
      <c r="A279" s="4" t="s">
        <v>91</v>
      </c>
      <c r="B279" s="5">
        <v>45689</v>
      </c>
      <c r="C279" s="4" t="s">
        <v>24</v>
      </c>
      <c r="D279" s="4" t="s">
        <v>16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 s="4">
        <v>0</v>
      </c>
      <c r="L279" s="4">
        <v>4</v>
      </c>
      <c r="M279" s="4">
        <v>738548.42</v>
      </c>
      <c r="N279" s="4">
        <v>134282.76999999999</v>
      </c>
    </row>
    <row r="280" spans="1:14">
      <c r="A280" s="4" t="s">
        <v>91</v>
      </c>
      <c r="B280" s="5">
        <v>45717</v>
      </c>
      <c r="C280" s="4" t="s">
        <v>24</v>
      </c>
      <c r="D280" s="4" t="s">
        <v>16</v>
      </c>
      <c r="E280" s="4">
        <v>48609.41</v>
      </c>
      <c r="F280" s="4">
        <v>9324</v>
      </c>
      <c r="G280" s="4">
        <v>0.21299999999999999</v>
      </c>
      <c r="H280" s="4">
        <v>18</v>
      </c>
      <c r="I280" s="4">
        <v>86.5</v>
      </c>
      <c r="J280" s="4">
        <v>1.44</v>
      </c>
      <c r="K280" s="4">
        <v>0</v>
      </c>
      <c r="L280" s="4">
        <v>3.9</v>
      </c>
      <c r="M280" s="4">
        <v>756619.77</v>
      </c>
      <c r="N280" s="4">
        <v>112057.69</v>
      </c>
    </row>
    <row r="281" spans="1:14">
      <c r="A281" s="4" t="s">
        <v>91</v>
      </c>
      <c r="B281" s="5">
        <v>45748</v>
      </c>
      <c r="C281" s="4" t="s">
        <v>24</v>
      </c>
      <c r="D281" s="4" t="s">
        <v>16</v>
      </c>
      <c r="E281" s="4">
        <v>70284.06</v>
      </c>
      <c r="F281" s="4">
        <v>9109</v>
      </c>
      <c r="G281" s="4">
        <v>4.0000000000000001E-3</v>
      </c>
      <c r="H281" s="4">
        <v>23</v>
      </c>
      <c r="I281" s="4">
        <v>87</v>
      </c>
      <c r="J281" s="4">
        <v>3.65</v>
      </c>
      <c r="K281" s="4">
        <v>0</v>
      </c>
      <c r="L281" s="4">
        <v>3.7</v>
      </c>
      <c r="M281" s="4">
        <v>761122.42</v>
      </c>
      <c r="N281" s="4">
        <v>149802.04</v>
      </c>
    </row>
    <row r="282" spans="1:14">
      <c r="A282" s="4" t="s">
        <v>92</v>
      </c>
      <c r="B282" s="5">
        <v>45658</v>
      </c>
      <c r="C282" s="4" t="s">
        <v>24</v>
      </c>
      <c r="D282" s="4" t="s">
        <v>18</v>
      </c>
      <c r="E282" s="4">
        <v>45940.39</v>
      </c>
      <c r="F282" s="4">
        <v>4022</v>
      </c>
      <c r="G282" s="4">
        <v>6.9000000000000006E-2</v>
      </c>
      <c r="H282" s="4">
        <v>10</v>
      </c>
      <c r="I282" s="4">
        <v>83</v>
      </c>
      <c r="J282" s="4">
        <v>1.23</v>
      </c>
      <c r="K282" s="4">
        <v>1</v>
      </c>
      <c r="L282" s="4">
        <v>3.8</v>
      </c>
      <c r="M282" s="4">
        <v>524899.56999999995</v>
      </c>
      <c r="N282" s="4">
        <v>63619.98</v>
      </c>
    </row>
    <row r="283" spans="1:14">
      <c r="A283" s="4" t="s">
        <v>92</v>
      </c>
      <c r="B283" s="5">
        <v>45689</v>
      </c>
      <c r="C283" s="4" t="s">
        <v>24</v>
      </c>
      <c r="D283" s="4" t="s">
        <v>18</v>
      </c>
      <c r="E283" s="4">
        <v>34771.26</v>
      </c>
      <c r="F283" s="4">
        <v>4355</v>
      </c>
      <c r="G283" s="4">
        <v>5.0999999999999997E-2</v>
      </c>
      <c r="H283" s="4">
        <v>15</v>
      </c>
      <c r="I283" s="4">
        <v>87.9</v>
      </c>
      <c r="J283" s="4">
        <v>3.09</v>
      </c>
      <c r="K283" s="4">
        <v>0</v>
      </c>
      <c r="L283" s="4">
        <v>4</v>
      </c>
      <c r="M283" s="4">
        <v>555557.77</v>
      </c>
      <c r="N283" s="4">
        <v>86475.51</v>
      </c>
    </row>
    <row r="284" spans="1:14">
      <c r="A284" s="4" t="s">
        <v>92</v>
      </c>
      <c r="B284" s="5">
        <v>45717</v>
      </c>
      <c r="C284" s="4" t="s">
        <v>24</v>
      </c>
      <c r="D284" s="4" t="s">
        <v>18</v>
      </c>
      <c r="E284" s="4">
        <v>66104.19</v>
      </c>
      <c r="F284" s="4">
        <v>5745</v>
      </c>
      <c r="G284" s="4">
        <v>7.0000000000000007E-2</v>
      </c>
      <c r="H284" s="4">
        <v>17</v>
      </c>
      <c r="I284" s="4">
        <v>95.8</v>
      </c>
      <c r="J284" s="4">
        <v>3.15</v>
      </c>
      <c r="K284" s="4">
        <v>0</v>
      </c>
      <c r="L284" s="4">
        <v>4</v>
      </c>
      <c r="M284" s="4">
        <v>714083.68</v>
      </c>
      <c r="N284" s="4">
        <v>127231.74</v>
      </c>
    </row>
    <row r="285" spans="1:14">
      <c r="A285" s="4" t="s">
        <v>92</v>
      </c>
      <c r="B285" s="5">
        <v>45748</v>
      </c>
      <c r="C285" s="4" t="s">
        <v>24</v>
      </c>
      <c r="D285" s="4" t="s">
        <v>18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80.900000000000006</v>
      </c>
      <c r="J285" s="4">
        <v>6.44</v>
      </c>
      <c r="K285" s="4">
        <v>0</v>
      </c>
      <c r="L285" s="4">
        <v>4.2</v>
      </c>
      <c r="M285" s="4">
        <v>497439.82</v>
      </c>
      <c r="N285" s="4">
        <v>93372.75</v>
      </c>
    </row>
    <row r="286" spans="1:14">
      <c r="A286" s="4" t="s">
        <v>93</v>
      </c>
      <c r="B286" s="5">
        <v>45658</v>
      </c>
      <c r="C286" s="4" t="s">
        <v>27</v>
      </c>
      <c r="D286" s="4" t="s">
        <v>16</v>
      </c>
      <c r="E286" s="4">
        <v>60183.06</v>
      </c>
      <c r="F286" s="4">
        <v>5562</v>
      </c>
      <c r="G286" s="4">
        <v>8.9999999999999993E-3</v>
      </c>
      <c r="H286" s="4">
        <v>13</v>
      </c>
      <c r="I286" s="4">
        <v>86.3</v>
      </c>
      <c r="J286" s="4">
        <v>0.2</v>
      </c>
      <c r="K286" s="4">
        <v>1</v>
      </c>
      <c r="L286" s="4">
        <v>4.5</v>
      </c>
      <c r="M286" s="4">
        <v>636775.66</v>
      </c>
      <c r="N286" s="4">
        <v>122636.86</v>
      </c>
    </row>
    <row r="287" spans="1:14">
      <c r="A287" s="4" t="s">
        <v>93</v>
      </c>
      <c r="B287" s="5">
        <v>45689</v>
      </c>
      <c r="C287" s="4" t="s">
        <v>27</v>
      </c>
      <c r="D287" s="4" t="s">
        <v>16</v>
      </c>
      <c r="E287" s="4">
        <v>74539.14</v>
      </c>
      <c r="F287" s="4">
        <v>4487</v>
      </c>
      <c r="G287" s="4">
        <v>0.14000000000000001</v>
      </c>
      <c r="H287" s="4">
        <v>10</v>
      </c>
      <c r="I287" s="4">
        <v>90.4</v>
      </c>
      <c r="J287" s="4">
        <v>0.59</v>
      </c>
      <c r="K287" s="4">
        <v>0</v>
      </c>
      <c r="L287" s="4">
        <v>4.5</v>
      </c>
      <c r="M287" s="4">
        <v>633009.53</v>
      </c>
      <c r="N287" s="4">
        <v>123782.67</v>
      </c>
    </row>
    <row r="288" spans="1:14">
      <c r="A288" s="4" t="s">
        <v>93</v>
      </c>
      <c r="B288" s="5">
        <v>45717</v>
      </c>
      <c r="C288" s="4" t="s">
        <v>27</v>
      </c>
      <c r="D288" s="4" t="s">
        <v>16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 s="4">
        <v>1</v>
      </c>
      <c r="L288" s="4">
        <v>4.2</v>
      </c>
      <c r="M288" s="4">
        <v>609949</v>
      </c>
      <c r="N288" s="4">
        <v>126789.25</v>
      </c>
    </row>
    <row r="289" spans="1:14">
      <c r="A289" s="4" t="s">
        <v>93</v>
      </c>
      <c r="B289" s="5">
        <v>45748</v>
      </c>
      <c r="C289" s="4" t="s">
        <v>27</v>
      </c>
      <c r="D289" s="4" t="s">
        <v>16</v>
      </c>
      <c r="E289" s="4">
        <v>40928.69</v>
      </c>
      <c r="F289" s="4">
        <v>4094</v>
      </c>
      <c r="G289" s="4">
        <v>0.17399999999999999</v>
      </c>
      <c r="H289" s="4">
        <v>13</v>
      </c>
      <c r="I289" s="4">
        <v>82.4</v>
      </c>
      <c r="J289" s="4">
        <v>1.36</v>
      </c>
      <c r="K289" s="4">
        <v>0</v>
      </c>
      <c r="L289" s="4">
        <v>4.8</v>
      </c>
      <c r="M289" s="4">
        <v>548103.69999999995</v>
      </c>
      <c r="N289" s="4">
        <v>99905.52</v>
      </c>
    </row>
    <row r="290" spans="1:14">
      <c r="A290" s="4" t="s">
        <v>94</v>
      </c>
      <c r="B290" s="5">
        <v>45658</v>
      </c>
      <c r="C290" s="4" t="s">
        <v>15</v>
      </c>
      <c r="D290" s="4" t="s">
        <v>16</v>
      </c>
      <c r="E290" s="4">
        <v>70012.41</v>
      </c>
      <c r="F290" s="4">
        <v>8484</v>
      </c>
      <c r="G290" s="4">
        <v>0.27300000000000002</v>
      </c>
      <c r="H290" s="4">
        <v>23</v>
      </c>
      <c r="I290" s="4">
        <v>72.900000000000006</v>
      </c>
      <c r="J290" s="4">
        <v>3.34</v>
      </c>
      <c r="K290" s="4">
        <v>0</v>
      </c>
      <c r="L290" s="4">
        <v>3.7</v>
      </c>
      <c r="M290" s="4">
        <v>729424.42</v>
      </c>
      <c r="N290" s="4">
        <v>75592.28</v>
      </c>
    </row>
    <row r="291" spans="1:14">
      <c r="A291" s="4" t="s">
        <v>94</v>
      </c>
      <c r="B291" s="5">
        <v>45689</v>
      </c>
      <c r="C291" s="4" t="s">
        <v>15</v>
      </c>
      <c r="D291" s="4" t="s">
        <v>16</v>
      </c>
      <c r="E291" s="4">
        <v>68909.259999999995</v>
      </c>
      <c r="F291" s="4">
        <v>7794</v>
      </c>
      <c r="G291" s="4">
        <v>0.28399999999999997</v>
      </c>
      <c r="H291" s="4">
        <v>22</v>
      </c>
      <c r="I291" s="4">
        <v>89</v>
      </c>
      <c r="J291" s="4">
        <v>0.33</v>
      </c>
      <c r="K291" s="4">
        <v>0</v>
      </c>
      <c r="L291" s="4">
        <v>4</v>
      </c>
      <c r="M291" s="4">
        <v>696261.49</v>
      </c>
      <c r="N291" s="4">
        <v>72455.350000000006</v>
      </c>
    </row>
    <row r="292" spans="1:14">
      <c r="A292" s="4" t="s">
        <v>94</v>
      </c>
      <c r="B292" s="5">
        <v>45717</v>
      </c>
      <c r="C292" s="4" t="s">
        <v>15</v>
      </c>
      <c r="D292" s="4" t="s">
        <v>16</v>
      </c>
      <c r="E292" s="4">
        <v>56737.3</v>
      </c>
      <c r="F292" s="4">
        <v>8300</v>
      </c>
      <c r="G292" s="4">
        <v>3.2000000000000001E-2</v>
      </c>
      <c r="H292" s="4">
        <v>21</v>
      </c>
      <c r="I292" s="4">
        <v>83.2</v>
      </c>
      <c r="J292" s="4">
        <v>3.44</v>
      </c>
      <c r="K292" s="4">
        <v>1</v>
      </c>
      <c r="L292" s="4">
        <v>4.3</v>
      </c>
      <c r="M292" s="4">
        <v>813316.71</v>
      </c>
      <c r="N292" s="4">
        <v>110077.42</v>
      </c>
    </row>
    <row r="293" spans="1:14">
      <c r="A293" s="4" t="s">
        <v>94</v>
      </c>
      <c r="B293" s="5">
        <v>45748</v>
      </c>
      <c r="C293" s="4" t="s">
        <v>15</v>
      </c>
      <c r="D293" s="4" t="s">
        <v>16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 s="4">
        <v>0</v>
      </c>
      <c r="L293" s="4">
        <v>4.0999999999999996</v>
      </c>
      <c r="M293" s="4">
        <v>702068.92</v>
      </c>
      <c r="N293" s="4">
        <v>111266.63</v>
      </c>
    </row>
    <row r="294" spans="1:14">
      <c r="A294" s="4" t="s">
        <v>95</v>
      </c>
      <c r="B294" s="5">
        <v>45658</v>
      </c>
      <c r="C294" s="4" t="s">
        <v>27</v>
      </c>
      <c r="D294" s="4" t="s">
        <v>18</v>
      </c>
      <c r="E294" s="4">
        <v>51996.32</v>
      </c>
      <c r="F294" s="4">
        <v>3834</v>
      </c>
      <c r="G294" s="4">
        <v>9.6000000000000002E-2</v>
      </c>
      <c r="H294" s="4">
        <v>8</v>
      </c>
      <c r="I294" s="4">
        <v>86.7</v>
      </c>
      <c r="J294" s="4">
        <v>6.04</v>
      </c>
      <c r="K294" s="4">
        <v>0</v>
      </c>
      <c r="L294" s="4">
        <v>4.5</v>
      </c>
      <c r="M294" s="4">
        <v>546223.69999999995</v>
      </c>
      <c r="N294" s="4">
        <v>100769.17</v>
      </c>
    </row>
    <row r="295" spans="1:14">
      <c r="A295" s="4" t="s">
        <v>95</v>
      </c>
      <c r="B295" s="5">
        <v>45689</v>
      </c>
      <c r="C295" s="4" t="s">
        <v>27</v>
      </c>
      <c r="D295" s="4" t="s">
        <v>18</v>
      </c>
      <c r="E295" s="4">
        <v>40102.879999999997</v>
      </c>
      <c r="F295" s="4">
        <v>2358</v>
      </c>
      <c r="G295" s="4">
        <v>0.11899999999999999</v>
      </c>
      <c r="H295" s="4">
        <v>9</v>
      </c>
      <c r="I295" s="4">
        <v>88.7</v>
      </c>
      <c r="J295" s="4">
        <v>1.6</v>
      </c>
      <c r="K295" s="4">
        <v>0</v>
      </c>
      <c r="L295" s="4">
        <v>4.2</v>
      </c>
      <c r="M295" s="4">
        <v>533121.26</v>
      </c>
      <c r="N295" s="4">
        <v>55063.39</v>
      </c>
    </row>
    <row r="296" spans="1:14">
      <c r="A296" s="4" t="s">
        <v>95</v>
      </c>
      <c r="B296" s="5">
        <v>45717</v>
      </c>
      <c r="C296" s="4" t="s">
        <v>27</v>
      </c>
      <c r="D296" s="4" t="s">
        <v>18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8.9600000000000009</v>
      </c>
      <c r="K296" s="4">
        <v>0</v>
      </c>
      <c r="L296" s="4">
        <v>4.7</v>
      </c>
      <c r="M296" s="4">
        <v>498970.32</v>
      </c>
      <c r="N296" s="4">
        <v>69656.7</v>
      </c>
    </row>
    <row r="297" spans="1:14">
      <c r="A297" s="4" t="s">
        <v>95</v>
      </c>
      <c r="B297" s="5">
        <v>45748</v>
      </c>
      <c r="C297" s="4" t="s">
        <v>27</v>
      </c>
      <c r="D297" s="4" t="s">
        <v>18</v>
      </c>
      <c r="E297" s="4">
        <v>27398.28</v>
      </c>
      <c r="F297" s="4">
        <v>1723</v>
      </c>
      <c r="G297" s="4">
        <v>0.17100000000000001</v>
      </c>
      <c r="H297" s="4">
        <v>9</v>
      </c>
      <c r="I297" s="4">
        <v>81</v>
      </c>
      <c r="J297" s="4">
        <v>0.74</v>
      </c>
      <c r="K297" s="4">
        <v>0</v>
      </c>
      <c r="L297" s="4">
        <v>4.5999999999999996</v>
      </c>
      <c r="M297" s="4">
        <v>487738.26</v>
      </c>
      <c r="N297" s="4">
        <v>96435.6</v>
      </c>
    </row>
    <row r="298" spans="1:14">
      <c r="A298" s="4" t="s">
        <v>96</v>
      </c>
      <c r="B298" s="5">
        <v>45658</v>
      </c>
      <c r="C298" s="4" t="s">
        <v>27</v>
      </c>
      <c r="D298" s="4" t="s">
        <v>18</v>
      </c>
      <c r="E298" s="4">
        <v>55599.56</v>
      </c>
      <c r="F298" s="4">
        <v>5896</v>
      </c>
      <c r="G298" s="4">
        <v>3.5999999999999997E-2</v>
      </c>
      <c r="H298" s="4">
        <v>12</v>
      </c>
      <c r="I298" s="4">
        <v>93.1</v>
      </c>
      <c r="J298" s="4">
        <v>6.13</v>
      </c>
      <c r="K298" s="4">
        <v>0</v>
      </c>
      <c r="L298" s="4">
        <v>3.3</v>
      </c>
      <c r="M298" s="4">
        <v>668459.37</v>
      </c>
      <c r="N298" s="4">
        <v>126435.42</v>
      </c>
    </row>
    <row r="299" spans="1:14">
      <c r="A299" s="4" t="s">
        <v>96</v>
      </c>
      <c r="B299" s="5">
        <v>45689</v>
      </c>
      <c r="C299" s="4" t="s">
        <v>27</v>
      </c>
      <c r="D299" s="4" t="s">
        <v>18</v>
      </c>
      <c r="E299" s="4">
        <v>55477.61</v>
      </c>
      <c r="F299" s="4">
        <v>5903</v>
      </c>
      <c r="G299" s="4">
        <v>0.10199999999999999</v>
      </c>
      <c r="H299" s="4">
        <v>14</v>
      </c>
      <c r="I299" s="4">
        <v>96.2</v>
      </c>
      <c r="J299" s="4">
        <v>1.41</v>
      </c>
      <c r="K299" s="4">
        <v>0</v>
      </c>
      <c r="L299" s="4">
        <v>3.3</v>
      </c>
      <c r="M299" s="4">
        <v>763162.45</v>
      </c>
      <c r="N299" s="4">
        <v>162524.04999999999</v>
      </c>
    </row>
    <row r="300" spans="1:14">
      <c r="A300" s="4" t="s">
        <v>96</v>
      </c>
      <c r="B300" s="5">
        <v>45717</v>
      </c>
      <c r="C300" s="4" t="s">
        <v>27</v>
      </c>
      <c r="D300" s="4" t="s">
        <v>18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 s="4">
        <v>0</v>
      </c>
      <c r="L300" s="4">
        <v>3.1</v>
      </c>
      <c r="M300" s="4">
        <v>599017.32999999996</v>
      </c>
      <c r="N300" s="4">
        <v>134009.92000000001</v>
      </c>
    </row>
    <row r="301" spans="1:14">
      <c r="A301" s="4" t="s">
        <v>96</v>
      </c>
      <c r="B301" s="5">
        <v>45748</v>
      </c>
      <c r="C301" s="4" t="s">
        <v>27</v>
      </c>
      <c r="D301" s="4" t="s">
        <v>18</v>
      </c>
      <c r="E301" s="4">
        <v>24362.98</v>
      </c>
      <c r="F301" s="4">
        <v>1462</v>
      </c>
      <c r="G301" s="4">
        <v>0.11700000000000001</v>
      </c>
      <c r="H301" s="4">
        <v>6</v>
      </c>
      <c r="I301" s="4">
        <v>89.3</v>
      </c>
      <c r="J301" s="4">
        <v>15.06</v>
      </c>
      <c r="K301" s="4">
        <v>0</v>
      </c>
      <c r="L301" s="4">
        <v>3.2</v>
      </c>
      <c r="M301" s="4">
        <v>401582.58</v>
      </c>
      <c r="N301" s="4">
        <v>68454.929999999993</v>
      </c>
    </row>
    <row r="302" spans="1:14">
      <c r="A302" s="4" t="s">
        <v>97</v>
      </c>
      <c r="B302" s="5">
        <v>45658</v>
      </c>
      <c r="C302" s="4" t="s">
        <v>20</v>
      </c>
      <c r="D302" s="4" t="s">
        <v>28</v>
      </c>
      <c r="E302" s="4">
        <v>40647.67</v>
      </c>
      <c r="F302" s="4">
        <v>8252</v>
      </c>
      <c r="G302" s="4">
        <v>0.14099999999999999</v>
      </c>
      <c r="H302" s="4">
        <v>22</v>
      </c>
      <c r="I302" s="4">
        <v>88.2</v>
      </c>
      <c r="J302" s="4">
        <v>5.07</v>
      </c>
      <c r="K302" s="4">
        <v>1</v>
      </c>
      <c r="L302" s="4">
        <v>4.0999999999999996</v>
      </c>
      <c r="M302" s="4">
        <v>703812.99</v>
      </c>
      <c r="N302" s="4">
        <v>133577.98000000001</v>
      </c>
    </row>
    <row r="303" spans="1:14">
      <c r="A303" s="4" t="s">
        <v>97</v>
      </c>
      <c r="B303" s="5">
        <v>45689</v>
      </c>
      <c r="C303" s="4" t="s">
        <v>20</v>
      </c>
      <c r="D303" s="4" t="s">
        <v>28</v>
      </c>
      <c r="E303" s="4">
        <v>63986.98</v>
      </c>
      <c r="F303" s="4">
        <v>7989</v>
      </c>
      <c r="G303" s="4">
        <v>7.3999999999999996E-2</v>
      </c>
      <c r="H303" s="4">
        <v>20</v>
      </c>
      <c r="I303" s="4">
        <v>83.3</v>
      </c>
      <c r="J303" s="4">
        <v>3.6</v>
      </c>
      <c r="K303" s="4">
        <v>0</v>
      </c>
      <c r="L303" s="4">
        <v>3.7</v>
      </c>
      <c r="M303" s="4">
        <v>724346.73</v>
      </c>
      <c r="N303" s="4">
        <v>155013.91</v>
      </c>
    </row>
    <row r="304" spans="1:14">
      <c r="A304" s="4" t="s">
        <v>97</v>
      </c>
      <c r="B304" s="5">
        <v>45717</v>
      </c>
      <c r="C304" s="4" t="s">
        <v>20</v>
      </c>
      <c r="D304" s="4" t="s">
        <v>28</v>
      </c>
      <c r="E304" s="4">
        <v>52843.75</v>
      </c>
      <c r="F304" s="4">
        <v>8268</v>
      </c>
      <c r="G304" s="4">
        <v>0.13800000000000001</v>
      </c>
      <c r="H304" s="4">
        <v>19</v>
      </c>
      <c r="I304" s="4">
        <v>87.3</v>
      </c>
      <c r="J304" s="4">
        <v>4.3899999999999997</v>
      </c>
      <c r="K304" s="4">
        <v>1</v>
      </c>
      <c r="L304" s="4">
        <v>4.7</v>
      </c>
      <c r="M304" s="4">
        <v>730890.01</v>
      </c>
      <c r="N304" s="4">
        <v>105502.56</v>
      </c>
    </row>
    <row r="305" spans="1:14">
      <c r="A305" s="4" t="s">
        <v>97</v>
      </c>
      <c r="B305" s="5">
        <v>45748</v>
      </c>
      <c r="C305" s="4" t="s">
        <v>20</v>
      </c>
      <c r="D305" s="4" t="s">
        <v>28</v>
      </c>
      <c r="E305" s="4">
        <v>31997.25</v>
      </c>
      <c r="F305" s="4">
        <v>8183</v>
      </c>
      <c r="G305" s="4">
        <v>0.19800000000000001</v>
      </c>
      <c r="H305" s="4">
        <v>18</v>
      </c>
      <c r="I305" s="4">
        <v>93</v>
      </c>
      <c r="J305" s="4">
        <v>2.79</v>
      </c>
      <c r="K305" s="4">
        <v>0</v>
      </c>
      <c r="L305" s="4">
        <v>4.2</v>
      </c>
      <c r="M305" s="4">
        <v>780580.95</v>
      </c>
      <c r="N305" s="4">
        <v>138144.46</v>
      </c>
    </row>
    <row r="306" spans="1:14">
      <c r="A306" s="4" t="s">
        <v>98</v>
      </c>
      <c r="B306" s="5">
        <v>45658</v>
      </c>
      <c r="C306" s="4" t="s">
        <v>24</v>
      </c>
      <c r="D306" s="4" t="s">
        <v>16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 s="4">
        <v>0</v>
      </c>
      <c r="L306" s="4">
        <v>4</v>
      </c>
      <c r="M306" s="4">
        <v>727957.48</v>
      </c>
      <c r="N306" s="4">
        <v>74805.23</v>
      </c>
    </row>
    <row r="307" spans="1:14">
      <c r="A307" s="4" t="s">
        <v>98</v>
      </c>
      <c r="B307" s="5">
        <v>45689</v>
      </c>
      <c r="C307" s="4" t="s">
        <v>24</v>
      </c>
      <c r="D307" s="4" t="s">
        <v>16</v>
      </c>
      <c r="E307" s="4">
        <v>46146.239999999998</v>
      </c>
      <c r="F307" s="4">
        <v>5804</v>
      </c>
      <c r="G307" s="4">
        <v>4.7E-2</v>
      </c>
      <c r="H307" s="4">
        <v>16</v>
      </c>
      <c r="I307" s="4">
        <v>86.9</v>
      </c>
      <c r="J307" s="4">
        <v>15.82</v>
      </c>
      <c r="K307" s="4">
        <v>0</v>
      </c>
      <c r="L307" s="4">
        <v>3.8</v>
      </c>
      <c r="M307" s="4">
        <v>538376</v>
      </c>
      <c r="N307" s="4">
        <v>87605.62</v>
      </c>
    </row>
    <row r="308" spans="1:14">
      <c r="A308" s="4" t="s">
        <v>98</v>
      </c>
      <c r="B308" s="5">
        <v>45717</v>
      </c>
      <c r="C308" s="4" t="s">
        <v>24</v>
      </c>
      <c r="D308" s="4" t="s">
        <v>16</v>
      </c>
      <c r="E308" s="4">
        <v>22387.26</v>
      </c>
      <c r="F308" s="4">
        <v>6301</v>
      </c>
      <c r="G308" s="4">
        <v>0.14599999999999999</v>
      </c>
      <c r="H308" s="4">
        <v>14</v>
      </c>
      <c r="I308" s="4">
        <v>85.9</v>
      </c>
      <c r="J308" s="4">
        <v>1.17</v>
      </c>
      <c r="K308" s="4">
        <v>1</v>
      </c>
      <c r="L308" s="4">
        <v>3.7</v>
      </c>
      <c r="M308" s="4">
        <v>665342.49</v>
      </c>
      <c r="N308" s="4">
        <v>93441.81</v>
      </c>
    </row>
    <row r="309" spans="1:14">
      <c r="A309" s="4" t="s">
        <v>98</v>
      </c>
      <c r="B309" s="5">
        <v>45748</v>
      </c>
      <c r="C309" s="4" t="s">
        <v>24</v>
      </c>
      <c r="D309" s="4" t="s">
        <v>16</v>
      </c>
      <c r="E309" s="4">
        <v>60684.05</v>
      </c>
      <c r="F309" s="4">
        <v>6399</v>
      </c>
      <c r="G309" s="4">
        <v>7.4999999999999997E-2</v>
      </c>
      <c r="H309" s="4">
        <v>16</v>
      </c>
      <c r="I309" s="4">
        <v>99</v>
      </c>
      <c r="J309" s="4">
        <v>3.82</v>
      </c>
      <c r="K309" s="4">
        <v>0</v>
      </c>
      <c r="L309" s="4">
        <v>3.5</v>
      </c>
      <c r="M309" s="4">
        <v>651164.18000000005</v>
      </c>
      <c r="N309" s="4">
        <v>109466.5</v>
      </c>
    </row>
    <row r="310" spans="1:14">
      <c r="A310" s="4" t="s">
        <v>99</v>
      </c>
      <c r="B310" s="5">
        <v>45658</v>
      </c>
      <c r="C310" s="4" t="s">
        <v>24</v>
      </c>
      <c r="D310" s="4" t="s">
        <v>18</v>
      </c>
      <c r="E310" s="4">
        <v>48465.599999999999</v>
      </c>
      <c r="F310" s="4">
        <v>5759</v>
      </c>
      <c r="G310" s="4">
        <v>0.154</v>
      </c>
      <c r="H310" s="4">
        <v>13</v>
      </c>
      <c r="I310" s="4">
        <v>87.5</v>
      </c>
      <c r="J310" s="4">
        <v>4.1399999999999997</v>
      </c>
      <c r="K310" s="4">
        <v>0</v>
      </c>
      <c r="L310" s="4">
        <v>4</v>
      </c>
      <c r="M310" s="4">
        <v>628538.30000000005</v>
      </c>
      <c r="N310" s="4">
        <v>112509.15</v>
      </c>
    </row>
    <row r="311" spans="1:14">
      <c r="A311" s="4" t="s">
        <v>99</v>
      </c>
      <c r="B311" s="5">
        <v>45689</v>
      </c>
      <c r="C311" s="4" t="s">
        <v>24</v>
      </c>
      <c r="D311" s="4" t="s">
        <v>18</v>
      </c>
      <c r="E311" s="4">
        <v>23702.38</v>
      </c>
      <c r="F311" s="4">
        <v>5285</v>
      </c>
      <c r="G311" s="4">
        <v>0.16700000000000001</v>
      </c>
      <c r="H311" s="4">
        <v>14</v>
      </c>
      <c r="I311" s="4">
        <v>79.7</v>
      </c>
      <c r="J311" s="4">
        <v>1.1000000000000001</v>
      </c>
      <c r="K311" s="4">
        <v>0</v>
      </c>
      <c r="L311" s="4">
        <v>4.3</v>
      </c>
      <c r="M311" s="4">
        <v>536524.84</v>
      </c>
      <c r="N311" s="4">
        <v>92752.94</v>
      </c>
    </row>
    <row r="312" spans="1:14">
      <c r="A312" s="4" t="s">
        <v>99</v>
      </c>
      <c r="B312" s="5">
        <v>45717</v>
      </c>
      <c r="C312" s="4" t="s">
        <v>24</v>
      </c>
      <c r="D312" s="4" t="s">
        <v>18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 s="4">
        <v>0</v>
      </c>
      <c r="L312" s="4">
        <v>4.2</v>
      </c>
      <c r="M312" s="4">
        <v>621677.30000000005</v>
      </c>
      <c r="N312" s="4">
        <v>105192.52</v>
      </c>
    </row>
    <row r="313" spans="1:14">
      <c r="A313" s="4" t="s">
        <v>99</v>
      </c>
      <c r="B313" s="5">
        <v>45748</v>
      </c>
      <c r="C313" s="4" t="s">
        <v>24</v>
      </c>
      <c r="D313" s="4" t="s">
        <v>18</v>
      </c>
      <c r="E313" s="4">
        <v>86026.58</v>
      </c>
      <c r="F313" s="4">
        <v>7479</v>
      </c>
      <c r="G313" s="4">
        <v>0.14199999999999999</v>
      </c>
      <c r="H313" s="4">
        <v>20</v>
      </c>
      <c r="I313" s="4">
        <v>89</v>
      </c>
      <c r="J313" s="4">
        <v>0.9</v>
      </c>
      <c r="K313" s="4">
        <v>0</v>
      </c>
      <c r="L313" s="4"/>
      <c r="M313" s="4">
        <v>771129.07</v>
      </c>
      <c r="N313" s="4">
        <v>116851.13</v>
      </c>
    </row>
    <row r="314" spans="1:14">
      <c r="A314" s="4" t="s">
        <v>100</v>
      </c>
      <c r="B314" s="5">
        <v>45658</v>
      </c>
      <c r="C314" s="4" t="s">
        <v>20</v>
      </c>
      <c r="D314" s="4" t="s">
        <v>16</v>
      </c>
      <c r="E314" s="4">
        <v>78967.520000000004</v>
      </c>
      <c r="F314" s="4">
        <v>6164</v>
      </c>
      <c r="G314" s="4">
        <v>2.1000000000000001E-2</v>
      </c>
      <c r="H314" s="4">
        <v>16</v>
      </c>
      <c r="I314" s="4">
        <v>85.5</v>
      </c>
      <c r="J314" s="4">
        <v>0.2</v>
      </c>
      <c r="K314" s="4">
        <v>0</v>
      </c>
      <c r="L314" s="4">
        <v>3.4</v>
      </c>
      <c r="M314" s="4">
        <v>702052.47</v>
      </c>
      <c r="N314" s="4">
        <v>121732.51</v>
      </c>
    </row>
    <row r="315" spans="1:14">
      <c r="A315" s="4" t="s">
        <v>100</v>
      </c>
      <c r="B315" s="5">
        <v>45689</v>
      </c>
      <c r="C315" s="4" t="s">
        <v>20</v>
      </c>
      <c r="D315" s="4" t="s">
        <v>16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 s="4">
        <v>0</v>
      </c>
      <c r="L315" s="4"/>
      <c r="M315" s="4">
        <v>688368.46</v>
      </c>
      <c r="N315" s="4">
        <v>93588.42</v>
      </c>
    </row>
    <row r="316" spans="1:14">
      <c r="A316" s="4" t="s">
        <v>100</v>
      </c>
      <c r="B316" s="5">
        <v>45717</v>
      </c>
      <c r="C316" s="4" t="s">
        <v>20</v>
      </c>
      <c r="D316" s="4" t="s">
        <v>16</v>
      </c>
      <c r="E316" s="4">
        <v>62507.16</v>
      </c>
      <c r="F316" s="4">
        <v>6000</v>
      </c>
      <c r="G316" s="4">
        <v>9.0999999999999998E-2</v>
      </c>
      <c r="H316" s="4">
        <v>14</v>
      </c>
      <c r="I316" s="4">
        <v>98.2</v>
      </c>
      <c r="J316" s="4">
        <v>4.38</v>
      </c>
      <c r="K316" s="4">
        <v>1</v>
      </c>
      <c r="L316" s="4">
        <v>3.9</v>
      </c>
      <c r="M316" s="4">
        <v>712375.77</v>
      </c>
      <c r="N316" s="4">
        <v>104171.53</v>
      </c>
    </row>
    <row r="317" spans="1:14">
      <c r="A317" s="4" t="s">
        <v>100</v>
      </c>
      <c r="B317" s="5">
        <v>45748</v>
      </c>
      <c r="C317" s="4" t="s">
        <v>20</v>
      </c>
      <c r="D317" s="4" t="s">
        <v>16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4.4800000000000004</v>
      </c>
      <c r="K317" s="4">
        <v>0</v>
      </c>
      <c r="L317" s="4">
        <v>4.2</v>
      </c>
      <c r="M317" s="4">
        <v>844710.67</v>
      </c>
      <c r="N317" s="4">
        <v>137140.18</v>
      </c>
    </row>
    <row r="318" spans="1:14">
      <c r="A318" s="4" t="s">
        <v>101</v>
      </c>
      <c r="B318" s="5">
        <v>45658</v>
      </c>
      <c r="C318" s="4" t="s">
        <v>15</v>
      </c>
      <c r="D318" s="4" t="s">
        <v>16</v>
      </c>
      <c r="E318" s="4">
        <v>76614.320000000007</v>
      </c>
      <c r="F318" s="4">
        <v>5639</v>
      </c>
      <c r="G318" s="4">
        <v>0.17399999999999999</v>
      </c>
      <c r="H318" s="4">
        <v>15</v>
      </c>
      <c r="I318" s="4">
        <v>92.9</v>
      </c>
      <c r="J318" s="4">
        <v>1.02</v>
      </c>
      <c r="K318" s="4">
        <v>1</v>
      </c>
      <c r="L318" s="4">
        <v>4</v>
      </c>
      <c r="M318" s="4">
        <v>620264.19999999995</v>
      </c>
      <c r="N318" s="4">
        <v>91365.64</v>
      </c>
    </row>
    <row r="319" spans="1:14">
      <c r="A319" s="4" t="s">
        <v>101</v>
      </c>
      <c r="B319" s="5">
        <v>45689</v>
      </c>
      <c r="C319" s="4" t="s">
        <v>15</v>
      </c>
      <c r="D319" s="4" t="s">
        <v>16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 s="4">
        <v>0</v>
      </c>
      <c r="L319" s="4">
        <v>3.8</v>
      </c>
      <c r="M319" s="4">
        <v>536845.42000000004</v>
      </c>
      <c r="N319" s="4">
        <v>107473.75</v>
      </c>
    </row>
    <row r="320" spans="1:14">
      <c r="A320" s="4" t="s">
        <v>101</v>
      </c>
      <c r="B320" s="5">
        <v>45717</v>
      </c>
      <c r="C320" s="4" t="s">
        <v>15</v>
      </c>
      <c r="D320" s="4" t="s">
        <v>16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4.8899999999999997</v>
      </c>
      <c r="K320" s="4">
        <v>1</v>
      </c>
      <c r="L320" s="4">
        <v>4.2</v>
      </c>
      <c r="M320" s="4">
        <v>726776.22</v>
      </c>
      <c r="N320" s="4">
        <v>90804.49</v>
      </c>
    </row>
    <row r="321" spans="1:14">
      <c r="A321" s="4" t="s">
        <v>101</v>
      </c>
      <c r="B321" s="5">
        <v>45748</v>
      </c>
      <c r="C321" s="4" t="s">
        <v>15</v>
      </c>
      <c r="D321" s="4" t="s">
        <v>16</v>
      </c>
      <c r="E321" s="4">
        <v>40553.11</v>
      </c>
      <c r="F321" s="4">
        <v>5317</v>
      </c>
      <c r="G321" s="4">
        <v>0.16500000000000001</v>
      </c>
      <c r="H321" s="4">
        <v>17</v>
      </c>
      <c r="I321" s="4">
        <v>84.3</v>
      </c>
      <c r="J321" s="4">
        <v>11.82</v>
      </c>
      <c r="K321" s="4">
        <v>0</v>
      </c>
      <c r="L321" s="4">
        <v>4.0999999999999996</v>
      </c>
      <c r="M321" s="4">
        <v>559660.84</v>
      </c>
      <c r="N321" s="4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2" sqref="B2"/>
    </sheetView>
  </sheetViews>
  <sheetFormatPr defaultRowHeight="14.25"/>
  <cols>
    <col min="1" max="1" width="21.25" bestFit="1" customWidth="1"/>
    <col min="2" max="2" width="59.875" bestFit="1" customWidth="1"/>
  </cols>
  <sheetData>
    <row r="1" spans="1:2" ht="15">
      <c r="A1" s="2" t="s">
        <v>102</v>
      </c>
      <c r="B1" s="2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>
      <c r="A5" s="3" t="s">
        <v>3</v>
      </c>
      <c r="B5" s="3" t="s">
        <v>107</v>
      </c>
    </row>
    <row r="6" spans="1:2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>
      <c r="A14" s="3" t="s">
        <v>12</v>
      </c>
      <c r="B14" s="3" t="s">
        <v>116</v>
      </c>
    </row>
    <row r="15" spans="1:2">
      <c r="A15" s="3" t="s">
        <v>13</v>
      </c>
      <c r="B15" s="3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1744-E439-4981-A39C-C18056C8042B}">
  <dimension ref="A1:Y321"/>
  <sheetViews>
    <sheetView topLeftCell="S1" workbookViewId="0">
      <selection activeCell="E12" sqref="A1:N321"/>
    </sheetView>
  </sheetViews>
  <sheetFormatPr defaultRowHeight="14.25"/>
  <cols>
    <col min="1" max="1" width="9.25" bestFit="1" customWidth="1"/>
    <col min="2" max="2" width="7.5" bestFit="1" customWidth="1"/>
    <col min="3" max="3" width="6.625" bestFit="1" customWidth="1"/>
    <col min="4" max="4" width="10.25" bestFit="1" customWidth="1"/>
    <col min="5" max="5" width="16.25" bestFit="1" customWidth="1"/>
    <col min="6" max="6" width="7" bestFit="1" customWidth="1"/>
    <col min="7" max="7" width="16.625" bestFit="1" customWidth="1"/>
    <col min="8" max="8" width="10.75" bestFit="1" customWidth="1"/>
    <col min="9" max="9" width="23.625" bestFit="1" customWidth="1"/>
    <col min="10" max="10" width="22.75" customWidth="1"/>
    <col min="11" max="11" width="11.375" bestFit="1" customWidth="1"/>
    <col min="12" max="12" width="15.375" customWidth="1"/>
    <col min="13" max="13" width="13.5" bestFit="1" customWidth="1"/>
    <col min="14" max="14" width="13.625" bestFit="1" customWidth="1"/>
    <col min="16" max="16" width="20" customWidth="1"/>
    <col min="17" max="17" width="16.625" customWidth="1"/>
    <col min="19" max="19" width="12.25" bestFit="1" customWidth="1"/>
    <col min="20" max="20" width="12.5" bestFit="1" customWidth="1"/>
    <col min="21" max="21" width="11.625" bestFit="1" customWidth="1"/>
    <col min="23" max="23" width="12.25" bestFit="1" customWidth="1"/>
    <col min="24" max="24" width="12.5" bestFit="1" customWidth="1"/>
    <col min="25" max="25" width="11.625" bestFit="1" customWidth="1"/>
  </cols>
  <sheetData>
    <row r="1" spans="1:25" ht="23.25" customHeight="1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2" t="s">
        <v>154</v>
      </c>
      <c r="Q1" s="2" t="s">
        <v>155</v>
      </c>
      <c r="S1" s="2" t="s">
        <v>156</v>
      </c>
      <c r="T1" s="2" t="s">
        <v>157</v>
      </c>
      <c r="U1" s="2" t="s">
        <v>158</v>
      </c>
      <c r="W1" s="14"/>
      <c r="X1" s="14"/>
      <c r="Y1" s="14"/>
    </row>
    <row r="2" spans="1:25">
      <c r="A2" s="4" t="s">
        <v>14</v>
      </c>
      <c r="B2" s="5">
        <v>45658</v>
      </c>
      <c r="C2" s="4" t="s">
        <v>15</v>
      </c>
      <c r="D2" s="4" t="s">
        <v>16</v>
      </c>
      <c r="E2" s="4">
        <v>70389.11</v>
      </c>
      <c r="F2" s="4">
        <v>8302</v>
      </c>
      <c r="G2" s="4">
        <v>4.2000000000000003E-2</v>
      </c>
      <c r="H2" s="4">
        <v>17</v>
      </c>
      <c r="I2" s="4">
        <v>75</v>
      </c>
      <c r="J2" s="4">
        <v>5.28</v>
      </c>
      <c r="K2" s="4">
        <v>1</v>
      </c>
      <c r="L2">
        <v>3.1</v>
      </c>
      <c r="M2" s="4">
        <v>658832.62</v>
      </c>
      <c r="N2" s="4">
        <v>84349.93</v>
      </c>
      <c r="P2">
        <f t="shared" ref="P2:P65" si="0">IF(D2="High Street",1,0)</f>
        <v>0</v>
      </c>
      <c r="Q2">
        <f t="shared" ref="Q2:Q65" si="1">IF(D2="Residential",1,0)</f>
        <v>1</v>
      </c>
      <c r="S2">
        <f t="shared" ref="S2:S65" si="2">IF(C2="North",1,0)</f>
        <v>0</v>
      </c>
      <c r="T2" s="4">
        <f t="shared" ref="T2:T65" si="3">IF(C2="South",1,0)</f>
        <v>0</v>
      </c>
      <c r="U2">
        <f t="shared" ref="U2:U65" si="4">IF(C2="West",1,0)</f>
        <v>0</v>
      </c>
      <c r="W2" s="16">
        <f>131460.3072
+(1.18591413*E2)
+(33.87042078*F2)
+(2818.206779*I2)
+(10547.37963*S2)
+(21940.48828*T2)
+(17491.37157*U2)</f>
        <v>707493.48908768431</v>
      </c>
      <c r="X2" s="4">
        <f>M2-W2</f>
        <v>-48660.869087684317</v>
      </c>
    </row>
    <row r="3" spans="1:25">
      <c r="A3" s="4" t="s">
        <v>14</v>
      </c>
      <c r="B3" s="5">
        <v>45689</v>
      </c>
      <c r="C3" s="4" t="s">
        <v>15</v>
      </c>
      <c r="D3" s="4" t="s">
        <v>16</v>
      </c>
      <c r="E3" s="4">
        <v>43827.89</v>
      </c>
      <c r="F3" s="4">
        <v>8487</v>
      </c>
      <c r="G3" s="4">
        <v>0.16800000000000001</v>
      </c>
      <c r="H3" s="4">
        <v>23</v>
      </c>
      <c r="I3" s="4">
        <v>84.4</v>
      </c>
      <c r="J3" s="4">
        <v>4.3099999999999996</v>
      </c>
      <c r="K3" s="4">
        <v>0</v>
      </c>
      <c r="L3">
        <v>2.8</v>
      </c>
      <c r="M3" s="4">
        <v>634436</v>
      </c>
      <c r="N3" s="4">
        <v>106130.54</v>
      </c>
      <c r="P3">
        <f t="shared" si="0"/>
        <v>0</v>
      </c>
      <c r="Q3">
        <f t="shared" si="1"/>
        <v>1</v>
      </c>
      <c r="S3">
        <f t="shared" si="2"/>
        <v>0</v>
      </c>
      <c r="T3" s="4">
        <f t="shared" si="3"/>
        <v>0</v>
      </c>
      <c r="U3">
        <f t="shared" si="4"/>
        <v>0</v>
      </c>
      <c r="X3" s="4"/>
    </row>
    <row r="4" spans="1:25">
      <c r="A4" s="4" t="s">
        <v>14</v>
      </c>
      <c r="B4" s="5">
        <v>45717</v>
      </c>
      <c r="C4" s="4" t="s">
        <v>15</v>
      </c>
      <c r="D4" s="4" t="s">
        <v>16</v>
      </c>
      <c r="E4" s="4">
        <v>59921.75</v>
      </c>
      <c r="F4" s="4">
        <v>9113</v>
      </c>
      <c r="G4" s="4">
        <v>0.13300000000000001</v>
      </c>
      <c r="H4" s="4">
        <v>20</v>
      </c>
      <c r="I4" s="4">
        <v>88</v>
      </c>
      <c r="J4" s="4">
        <v>12</v>
      </c>
      <c r="K4" s="4">
        <v>0</v>
      </c>
      <c r="L4">
        <v>3.2</v>
      </c>
      <c r="M4" s="4">
        <v>678722.06</v>
      </c>
      <c r="N4" s="4">
        <v>101883.86</v>
      </c>
      <c r="P4">
        <f t="shared" si="0"/>
        <v>0</v>
      </c>
      <c r="Q4">
        <f t="shared" si="1"/>
        <v>1</v>
      </c>
      <c r="S4">
        <f t="shared" si="2"/>
        <v>0</v>
      </c>
      <c r="T4" s="4">
        <f t="shared" si="3"/>
        <v>0</v>
      </c>
      <c r="U4">
        <f t="shared" si="4"/>
        <v>0</v>
      </c>
      <c r="X4" s="4"/>
    </row>
    <row r="5" spans="1:25">
      <c r="A5" s="4" t="s">
        <v>14</v>
      </c>
      <c r="B5" s="5">
        <v>45748</v>
      </c>
      <c r="C5" s="4" t="s">
        <v>15</v>
      </c>
      <c r="D5" s="4" t="s">
        <v>16</v>
      </c>
      <c r="E5" s="4">
        <v>56856.63</v>
      </c>
      <c r="F5" s="4">
        <v>9431</v>
      </c>
      <c r="G5" s="4">
        <v>0.14199999999999999</v>
      </c>
      <c r="H5" s="4">
        <v>23</v>
      </c>
      <c r="I5" s="4">
        <v>86.9</v>
      </c>
      <c r="J5" s="4">
        <v>4.97</v>
      </c>
      <c r="K5" s="4">
        <v>0</v>
      </c>
      <c r="L5">
        <v>3.4</v>
      </c>
      <c r="M5" s="4">
        <v>658920.30000000005</v>
      </c>
      <c r="N5" s="4">
        <v>97910.37</v>
      </c>
      <c r="P5">
        <f t="shared" si="0"/>
        <v>0</v>
      </c>
      <c r="Q5">
        <f t="shared" si="1"/>
        <v>1</v>
      </c>
      <c r="S5">
        <f t="shared" si="2"/>
        <v>0</v>
      </c>
      <c r="T5" s="4">
        <f t="shared" si="3"/>
        <v>0</v>
      </c>
      <c r="U5">
        <f t="shared" si="4"/>
        <v>0</v>
      </c>
      <c r="X5" s="4"/>
    </row>
    <row r="6" spans="1:25">
      <c r="A6" s="4" t="s">
        <v>17</v>
      </c>
      <c r="B6" s="5">
        <v>45658</v>
      </c>
      <c r="C6" s="4" t="s">
        <v>15</v>
      </c>
      <c r="D6" s="4" t="s">
        <v>18</v>
      </c>
      <c r="E6" s="4">
        <v>48412.639999999999</v>
      </c>
      <c r="F6" s="4">
        <v>9545</v>
      </c>
      <c r="G6" s="4">
        <v>0.23100000000000001</v>
      </c>
      <c r="H6" s="4">
        <v>21</v>
      </c>
      <c r="I6" s="4">
        <v>97.6</v>
      </c>
      <c r="J6" s="4">
        <v>6.94</v>
      </c>
      <c r="K6" s="4">
        <v>1</v>
      </c>
      <c r="L6">
        <v>4.2</v>
      </c>
      <c r="M6" s="4">
        <v>741341.44</v>
      </c>
      <c r="N6" s="4">
        <v>119208.17</v>
      </c>
      <c r="P6">
        <f t="shared" si="0"/>
        <v>1</v>
      </c>
      <c r="Q6">
        <f t="shared" si="1"/>
        <v>0</v>
      </c>
      <c r="S6">
        <f t="shared" si="2"/>
        <v>0</v>
      </c>
      <c r="T6" s="4">
        <f t="shared" si="3"/>
        <v>0</v>
      </c>
      <c r="U6">
        <f t="shared" si="4"/>
        <v>0</v>
      </c>
      <c r="X6" s="4"/>
    </row>
    <row r="7" spans="1:25">
      <c r="A7" s="4" t="s">
        <v>17</v>
      </c>
      <c r="B7" s="5">
        <v>45689</v>
      </c>
      <c r="C7" s="4" t="s">
        <v>15</v>
      </c>
      <c r="D7" s="4" t="s">
        <v>18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 s="4">
        <v>0</v>
      </c>
      <c r="L7">
        <v>4.2</v>
      </c>
      <c r="M7" s="4">
        <v>761835.34</v>
      </c>
      <c r="N7" s="4">
        <v>149602.23000000001</v>
      </c>
      <c r="P7">
        <f t="shared" si="0"/>
        <v>1</v>
      </c>
      <c r="Q7">
        <f t="shared" si="1"/>
        <v>0</v>
      </c>
      <c r="S7">
        <f t="shared" si="2"/>
        <v>0</v>
      </c>
      <c r="T7" s="4">
        <f t="shared" si="3"/>
        <v>0</v>
      </c>
      <c r="U7">
        <f t="shared" si="4"/>
        <v>0</v>
      </c>
      <c r="X7" s="4"/>
    </row>
    <row r="8" spans="1:25">
      <c r="A8" s="4" t="s">
        <v>17</v>
      </c>
      <c r="B8" s="5">
        <v>45717</v>
      </c>
      <c r="C8" s="4" t="s">
        <v>15</v>
      </c>
      <c r="D8" s="4" t="s">
        <v>18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 s="4">
        <v>1</v>
      </c>
      <c r="L8">
        <v>4.0999999999999996</v>
      </c>
      <c r="M8" s="4">
        <v>806615.54</v>
      </c>
      <c r="N8" s="4">
        <v>131364.62</v>
      </c>
      <c r="P8">
        <f t="shared" si="0"/>
        <v>1</v>
      </c>
      <c r="Q8">
        <f t="shared" si="1"/>
        <v>0</v>
      </c>
      <c r="S8">
        <f t="shared" si="2"/>
        <v>0</v>
      </c>
      <c r="T8" s="4">
        <f t="shared" si="3"/>
        <v>0</v>
      </c>
      <c r="U8">
        <f t="shared" si="4"/>
        <v>0</v>
      </c>
      <c r="X8" s="4"/>
    </row>
    <row r="9" spans="1:25">
      <c r="A9" s="4" t="s">
        <v>17</v>
      </c>
      <c r="B9" s="5">
        <v>45748</v>
      </c>
      <c r="C9" s="4" t="s">
        <v>15</v>
      </c>
      <c r="D9" s="4" t="s">
        <v>18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 s="4">
        <v>0</v>
      </c>
      <c r="L9">
        <v>3.9</v>
      </c>
      <c r="M9" s="4">
        <v>850164.26</v>
      </c>
      <c r="N9" s="4">
        <v>149262.75</v>
      </c>
      <c r="P9">
        <f t="shared" si="0"/>
        <v>1</v>
      </c>
      <c r="Q9">
        <f t="shared" si="1"/>
        <v>0</v>
      </c>
      <c r="S9">
        <f t="shared" si="2"/>
        <v>0</v>
      </c>
      <c r="T9" s="4">
        <f t="shared" si="3"/>
        <v>0</v>
      </c>
      <c r="U9">
        <f t="shared" si="4"/>
        <v>0</v>
      </c>
      <c r="X9" s="4"/>
    </row>
    <row r="10" spans="1:25">
      <c r="A10" s="4" t="s">
        <v>19</v>
      </c>
      <c r="B10" s="5">
        <v>45658</v>
      </c>
      <c r="C10" s="4" t="s">
        <v>20</v>
      </c>
      <c r="D10" s="4" t="s">
        <v>21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 s="4">
        <v>1</v>
      </c>
      <c r="L10">
        <v>3.8</v>
      </c>
      <c r="M10" s="4">
        <v>930581.7</v>
      </c>
      <c r="N10" s="4">
        <v>136207.98000000001</v>
      </c>
      <c r="P10">
        <f t="shared" si="0"/>
        <v>0</v>
      </c>
      <c r="Q10">
        <f t="shared" si="1"/>
        <v>0</v>
      </c>
      <c r="S10">
        <f t="shared" si="2"/>
        <v>1</v>
      </c>
      <c r="T10" s="4">
        <f t="shared" si="3"/>
        <v>0</v>
      </c>
      <c r="U10">
        <f t="shared" si="4"/>
        <v>0</v>
      </c>
      <c r="X10" s="4"/>
    </row>
    <row r="11" spans="1:25">
      <c r="A11" s="4" t="s">
        <v>19</v>
      </c>
      <c r="B11" s="5">
        <v>45689</v>
      </c>
      <c r="C11" s="4" t="s">
        <v>20</v>
      </c>
      <c r="D11" s="4" t="s">
        <v>21</v>
      </c>
      <c r="E11" s="4">
        <v>68133.440000000002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 s="4">
        <v>0</v>
      </c>
      <c r="L11">
        <v>4.2</v>
      </c>
      <c r="M11" s="4">
        <v>779010.94</v>
      </c>
      <c r="N11" s="4">
        <v>106328.09</v>
      </c>
      <c r="P11">
        <f t="shared" si="0"/>
        <v>0</v>
      </c>
      <c r="Q11">
        <f t="shared" si="1"/>
        <v>0</v>
      </c>
      <c r="S11">
        <f t="shared" si="2"/>
        <v>1</v>
      </c>
      <c r="T11" s="4">
        <f t="shared" si="3"/>
        <v>0</v>
      </c>
      <c r="U11">
        <f t="shared" si="4"/>
        <v>0</v>
      </c>
      <c r="X11" s="4"/>
    </row>
    <row r="12" spans="1:25">
      <c r="A12" s="4" t="s">
        <v>19</v>
      </c>
      <c r="B12" s="5">
        <v>45717</v>
      </c>
      <c r="C12" s="4" t="s">
        <v>20</v>
      </c>
      <c r="D12" s="4" t="s">
        <v>21</v>
      </c>
      <c r="E12" s="4">
        <v>34285.21</v>
      </c>
      <c r="F12" s="4">
        <v>9172</v>
      </c>
      <c r="G12" s="4">
        <v>0.21299999999999999</v>
      </c>
      <c r="H12" s="4">
        <v>22</v>
      </c>
      <c r="I12" s="4">
        <v>88.3</v>
      </c>
      <c r="J12" s="4">
        <v>10.46</v>
      </c>
      <c r="K12" s="4">
        <v>1</v>
      </c>
      <c r="L12">
        <v>3.8</v>
      </c>
      <c r="M12" s="4">
        <v>723060.76</v>
      </c>
      <c r="N12" s="4">
        <v>123131.24</v>
      </c>
      <c r="P12">
        <f t="shared" si="0"/>
        <v>0</v>
      </c>
      <c r="Q12">
        <f t="shared" si="1"/>
        <v>0</v>
      </c>
      <c r="S12">
        <f t="shared" si="2"/>
        <v>1</v>
      </c>
      <c r="T12" s="4">
        <f t="shared" si="3"/>
        <v>0</v>
      </c>
      <c r="U12">
        <f t="shared" si="4"/>
        <v>0</v>
      </c>
      <c r="X12" s="4"/>
    </row>
    <row r="13" spans="1:25">
      <c r="A13" s="4" t="s">
        <v>19</v>
      </c>
      <c r="B13" s="5">
        <v>45748</v>
      </c>
      <c r="C13" s="4" t="s">
        <v>20</v>
      </c>
      <c r="D13" s="4" t="s">
        <v>21</v>
      </c>
      <c r="E13" s="4">
        <v>67979.88</v>
      </c>
      <c r="F13" s="4">
        <v>11230</v>
      </c>
      <c r="G13" s="4">
        <v>2E-3</v>
      </c>
      <c r="H13" s="4">
        <v>28</v>
      </c>
      <c r="I13" s="4">
        <v>85.3</v>
      </c>
      <c r="J13" s="4">
        <v>7.16</v>
      </c>
      <c r="K13" s="4">
        <v>0</v>
      </c>
      <c r="L13">
        <v>3.8</v>
      </c>
      <c r="M13" s="4">
        <v>910791.94</v>
      </c>
      <c r="N13" s="4">
        <v>158891.28</v>
      </c>
      <c r="P13">
        <f t="shared" si="0"/>
        <v>0</v>
      </c>
      <c r="Q13">
        <f t="shared" si="1"/>
        <v>0</v>
      </c>
      <c r="S13">
        <f t="shared" si="2"/>
        <v>1</v>
      </c>
      <c r="T13" s="4">
        <f t="shared" si="3"/>
        <v>0</v>
      </c>
      <c r="U13">
        <f t="shared" si="4"/>
        <v>0</v>
      </c>
      <c r="X13" s="4"/>
    </row>
    <row r="14" spans="1:25">
      <c r="A14" s="4" t="s">
        <v>22</v>
      </c>
      <c r="B14" s="5">
        <v>45658</v>
      </c>
      <c r="C14" s="4" t="s">
        <v>15</v>
      </c>
      <c r="D14" s="4" t="s">
        <v>16</v>
      </c>
      <c r="E14" s="4">
        <v>71828.259999999995</v>
      </c>
      <c r="F14" s="4">
        <v>12775</v>
      </c>
      <c r="G14" s="4">
        <v>0.11600000000000001</v>
      </c>
      <c r="H14" s="4">
        <v>30</v>
      </c>
      <c r="I14" s="4">
        <v>81.7</v>
      </c>
      <c r="J14" s="4">
        <v>4.24</v>
      </c>
      <c r="K14" s="4">
        <v>1</v>
      </c>
      <c r="L14">
        <v>4.2</v>
      </c>
      <c r="M14" s="4">
        <v>922168.6</v>
      </c>
      <c r="N14" s="4">
        <v>107494.53</v>
      </c>
      <c r="P14">
        <f t="shared" si="0"/>
        <v>0</v>
      </c>
      <c r="Q14">
        <f t="shared" si="1"/>
        <v>1</v>
      </c>
      <c r="S14">
        <f t="shared" si="2"/>
        <v>0</v>
      </c>
      <c r="T14" s="4">
        <f t="shared" si="3"/>
        <v>0</v>
      </c>
      <c r="U14">
        <f t="shared" si="4"/>
        <v>0</v>
      </c>
      <c r="X14" s="4"/>
    </row>
    <row r="15" spans="1:25">
      <c r="A15" s="4" t="s">
        <v>22</v>
      </c>
      <c r="B15" s="5">
        <v>45689</v>
      </c>
      <c r="C15" s="4" t="s">
        <v>15</v>
      </c>
      <c r="D15" s="4" t="s">
        <v>16</v>
      </c>
      <c r="E15" s="4">
        <v>55716.82</v>
      </c>
      <c r="F15" s="4">
        <v>10054</v>
      </c>
      <c r="G15" s="4">
        <v>0.14599999999999999</v>
      </c>
      <c r="H15" s="4">
        <v>24</v>
      </c>
      <c r="I15" s="4">
        <v>84.9</v>
      </c>
      <c r="J15" s="4">
        <v>1.06</v>
      </c>
      <c r="K15" s="4">
        <v>0</v>
      </c>
      <c r="L15">
        <v>4.3</v>
      </c>
      <c r="M15" s="4">
        <v>726606.28</v>
      </c>
      <c r="N15" s="4">
        <v>122729.29</v>
      </c>
      <c r="P15">
        <f t="shared" si="0"/>
        <v>0</v>
      </c>
      <c r="Q15">
        <f t="shared" si="1"/>
        <v>1</v>
      </c>
      <c r="S15">
        <f t="shared" si="2"/>
        <v>0</v>
      </c>
      <c r="T15" s="4">
        <f t="shared" si="3"/>
        <v>0</v>
      </c>
      <c r="U15">
        <f t="shared" si="4"/>
        <v>0</v>
      </c>
      <c r="X15" s="4"/>
    </row>
    <row r="16" spans="1:25">
      <c r="A16" s="4" t="s">
        <v>22</v>
      </c>
      <c r="B16" s="5">
        <v>45717</v>
      </c>
      <c r="C16" s="4" t="s">
        <v>15</v>
      </c>
      <c r="D16" s="4" t="s">
        <v>16</v>
      </c>
      <c r="E16" s="4">
        <v>59909.51</v>
      </c>
      <c r="F16" s="4">
        <v>8895</v>
      </c>
      <c r="G16" s="4">
        <v>0.22800000000000001</v>
      </c>
      <c r="H16" s="4">
        <v>23</v>
      </c>
      <c r="I16" s="4">
        <v>88.8</v>
      </c>
      <c r="J16" s="4">
        <v>0.27</v>
      </c>
      <c r="K16" s="4">
        <v>0</v>
      </c>
      <c r="L16">
        <v>4.3</v>
      </c>
      <c r="M16" s="4">
        <v>746501.09</v>
      </c>
      <c r="N16" s="4">
        <v>136816.72</v>
      </c>
      <c r="P16">
        <f t="shared" si="0"/>
        <v>0</v>
      </c>
      <c r="Q16">
        <f t="shared" si="1"/>
        <v>1</v>
      </c>
      <c r="S16">
        <f t="shared" si="2"/>
        <v>0</v>
      </c>
      <c r="T16" s="4">
        <f t="shared" si="3"/>
        <v>0</v>
      </c>
      <c r="U16">
        <f t="shared" si="4"/>
        <v>0</v>
      </c>
      <c r="X16" s="4"/>
    </row>
    <row r="17" spans="1:24">
      <c r="A17" s="4" t="s">
        <v>22</v>
      </c>
      <c r="B17" s="5">
        <v>45748</v>
      </c>
      <c r="C17" s="4" t="s">
        <v>15</v>
      </c>
      <c r="D17" s="4" t="s">
        <v>16</v>
      </c>
      <c r="E17" s="4">
        <v>75305.710000000006</v>
      </c>
      <c r="F17" s="4">
        <v>10940</v>
      </c>
      <c r="G17" s="4">
        <v>6.0000000000000001E-3</v>
      </c>
      <c r="H17" s="4">
        <v>26</v>
      </c>
      <c r="I17" s="4">
        <v>76.5</v>
      </c>
      <c r="J17" s="4">
        <v>1.32</v>
      </c>
      <c r="K17" s="4">
        <v>0</v>
      </c>
      <c r="L17">
        <v>4.5</v>
      </c>
      <c r="M17" s="4">
        <v>834017.02</v>
      </c>
      <c r="N17" s="4">
        <v>114745.03</v>
      </c>
      <c r="P17">
        <f t="shared" si="0"/>
        <v>0</v>
      </c>
      <c r="Q17">
        <f t="shared" si="1"/>
        <v>1</v>
      </c>
      <c r="S17">
        <f t="shared" si="2"/>
        <v>0</v>
      </c>
      <c r="T17" s="4">
        <f t="shared" si="3"/>
        <v>0</v>
      </c>
      <c r="U17">
        <f t="shared" si="4"/>
        <v>0</v>
      </c>
      <c r="X17" s="4"/>
    </row>
    <row r="18" spans="1:24">
      <c r="A18" s="4" t="s">
        <v>23</v>
      </c>
      <c r="B18" s="5">
        <v>45658</v>
      </c>
      <c r="C18" s="4" t="s">
        <v>24</v>
      </c>
      <c r="D18" s="4" t="s">
        <v>16</v>
      </c>
      <c r="E18" s="4">
        <v>48804.22</v>
      </c>
      <c r="F18" s="4">
        <v>7057</v>
      </c>
      <c r="G18" s="4">
        <v>5.0000000000000001E-3</v>
      </c>
      <c r="H18" s="4">
        <v>15</v>
      </c>
      <c r="I18" s="4">
        <v>87.7</v>
      </c>
      <c r="J18" s="4">
        <v>1.22</v>
      </c>
      <c r="K18" s="4">
        <v>0</v>
      </c>
      <c r="L18">
        <v>3.7</v>
      </c>
      <c r="M18" s="4">
        <v>666152.52</v>
      </c>
      <c r="N18" s="4">
        <v>107490.58</v>
      </c>
      <c r="P18">
        <f t="shared" si="0"/>
        <v>0</v>
      </c>
      <c r="Q18">
        <f t="shared" si="1"/>
        <v>1</v>
      </c>
      <c r="S18">
        <f t="shared" si="2"/>
        <v>0</v>
      </c>
      <c r="T18" s="4">
        <f t="shared" si="3"/>
        <v>1</v>
      </c>
      <c r="U18">
        <f t="shared" si="4"/>
        <v>0</v>
      </c>
      <c r="X18" s="4"/>
    </row>
    <row r="19" spans="1:24">
      <c r="A19" s="4" t="s">
        <v>23</v>
      </c>
      <c r="B19" s="5">
        <v>45689</v>
      </c>
      <c r="C19" s="4" t="s">
        <v>24</v>
      </c>
      <c r="D19" s="4" t="s">
        <v>16</v>
      </c>
      <c r="E19" s="4">
        <v>59117.9</v>
      </c>
      <c r="F19" s="4">
        <v>4263</v>
      </c>
      <c r="G19" s="4">
        <v>0.11899999999999999</v>
      </c>
      <c r="H19" s="4">
        <v>9</v>
      </c>
      <c r="I19" s="4">
        <v>87.6</v>
      </c>
      <c r="J19" s="4">
        <v>4.01</v>
      </c>
      <c r="K19" s="4">
        <v>0</v>
      </c>
      <c r="L19">
        <v>3.6</v>
      </c>
      <c r="M19" s="4">
        <v>573155.18999999994</v>
      </c>
      <c r="N19" s="4">
        <v>83680.75</v>
      </c>
      <c r="P19">
        <f t="shared" si="0"/>
        <v>0</v>
      </c>
      <c r="Q19">
        <f t="shared" si="1"/>
        <v>1</v>
      </c>
      <c r="S19">
        <f t="shared" si="2"/>
        <v>0</v>
      </c>
      <c r="T19" s="4">
        <f t="shared" si="3"/>
        <v>1</v>
      </c>
      <c r="U19">
        <f t="shared" si="4"/>
        <v>0</v>
      </c>
      <c r="X19" s="4"/>
    </row>
    <row r="20" spans="1:24">
      <c r="A20" s="4" t="s">
        <v>23</v>
      </c>
      <c r="B20" s="5">
        <v>45717</v>
      </c>
      <c r="C20" s="4" t="s">
        <v>24</v>
      </c>
      <c r="D20" s="4" t="s">
        <v>16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 s="4">
        <v>0</v>
      </c>
      <c r="L20">
        <v>3.9</v>
      </c>
      <c r="M20" s="4">
        <v>666573.19999999995</v>
      </c>
      <c r="N20" s="4">
        <v>140641.01999999999</v>
      </c>
      <c r="P20">
        <f t="shared" si="0"/>
        <v>0</v>
      </c>
      <c r="Q20">
        <f t="shared" si="1"/>
        <v>1</v>
      </c>
      <c r="S20">
        <f t="shared" si="2"/>
        <v>0</v>
      </c>
      <c r="T20" s="4">
        <f t="shared" si="3"/>
        <v>1</v>
      </c>
      <c r="U20">
        <f t="shared" si="4"/>
        <v>0</v>
      </c>
      <c r="X20" s="4"/>
    </row>
    <row r="21" spans="1:24">
      <c r="A21" s="4" t="s">
        <v>23</v>
      </c>
      <c r="B21" s="5">
        <v>45748</v>
      </c>
      <c r="C21" s="4" t="s">
        <v>24</v>
      </c>
      <c r="D21" s="4" t="s">
        <v>16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 s="4">
        <v>0</v>
      </c>
      <c r="L21">
        <v>4</v>
      </c>
      <c r="M21" s="4">
        <v>591619.94999999995</v>
      </c>
      <c r="N21" s="4">
        <v>99521.35</v>
      </c>
      <c r="P21">
        <f t="shared" si="0"/>
        <v>0</v>
      </c>
      <c r="Q21">
        <f t="shared" si="1"/>
        <v>1</v>
      </c>
      <c r="S21">
        <f t="shared" si="2"/>
        <v>0</v>
      </c>
      <c r="T21" s="4">
        <f t="shared" si="3"/>
        <v>1</v>
      </c>
      <c r="U21">
        <f t="shared" si="4"/>
        <v>0</v>
      </c>
      <c r="X21" s="4"/>
    </row>
    <row r="22" spans="1:24">
      <c r="A22" s="4" t="s">
        <v>25</v>
      </c>
      <c r="B22" s="5">
        <v>45658</v>
      </c>
      <c r="C22" s="4" t="s">
        <v>20</v>
      </c>
      <c r="D22" s="4" t="s">
        <v>16</v>
      </c>
      <c r="E22" s="4">
        <v>30356.28</v>
      </c>
      <c r="F22" s="4">
        <v>2822</v>
      </c>
      <c r="G22" s="4">
        <v>0.23100000000000001</v>
      </c>
      <c r="H22" s="4">
        <v>9</v>
      </c>
      <c r="I22" s="4">
        <v>84.8</v>
      </c>
      <c r="J22" s="4">
        <v>6.95</v>
      </c>
      <c r="K22" s="4">
        <v>0</v>
      </c>
      <c r="L22">
        <v>5</v>
      </c>
      <c r="M22" s="4">
        <v>415721.82</v>
      </c>
      <c r="N22" s="4">
        <v>61179.15</v>
      </c>
      <c r="P22">
        <f t="shared" si="0"/>
        <v>0</v>
      </c>
      <c r="Q22">
        <f t="shared" si="1"/>
        <v>1</v>
      </c>
      <c r="S22">
        <f t="shared" si="2"/>
        <v>1</v>
      </c>
      <c r="T22" s="4">
        <f t="shared" si="3"/>
        <v>0</v>
      </c>
      <c r="U22">
        <f t="shared" si="4"/>
        <v>0</v>
      </c>
      <c r="X22" s="4"/>
    </row>
    <row r="23" spans="1:24">
      <c r="A23" s="4" t="s">
        <v>25</v>
      </c>
      <c r="B23" s="5">
        <v>45689</v>
      </c>
      <c r="C23" s="4" t="s">
        <v>20</v>
      </c>
      <c r="D23" s="4" t="s">
        <v>16</v>
      </c>
      <c r="E23" s="4">
        <v>33518.879999999997</v>
      </c>
      <c r="F23" s="4">
        <v>2121</v>
      </c>
      <c r="G23" s="4">
        <v>0.17599999999999999</v>
      </c>
      <c r="H23" s="4">
        <v>8</v>
      </c>
      <c r="I23" s="4">
        <v>88.5</v>
      </c>
      <c r="J23" s="4">
        <v>0.2</v>
      </c>
      <c r="K23" s="4">
        <v>0</v>
      </c>
      <c r="L23">
        <v>5</v>
      </c>
      <c r="M23" s="4">
        <v>491905.13</v>
      </c>
      <c r="N23" s="4">
        <v>79212.259999999995</v>
      </c>
      <c r="P23">
        <f t="shared" si="0"/>
        <v>0</v>
      </c>
      <c r="Q23">
        <f t="shared" si="1"/>
        <v>1</v>
      </c>
      <c r="S23">
        <f t="shared" si="2"/>
        <v>1</v>
      </c>
      <c r="T23" s="4">
        <f t="shared" si="3"/>
        <v>0</v>
      </c>
      <c r="U23">
        <f t="shared" si="4"/>
        <v>0</v>
      </c>
      <c r="X23" s="4"/>
    </row>
    <row r="24" spans="1:24">
      <c r="A24" s="4" t="s">
        <v>25</v>
      </c>
      <c r="B24" s="5">
        <v>45717</v>
      </c>
      <c r="C24" s="4" t="s">
        <v>20</v>
      </c>
      <c r="D24" s="4" t="s">
        <v>16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 s="4">
        <v>1</v>
      </c>
      <c r="L24">
        <v>4.5999999999999996</v>
      </c>
      <c r="M24" s="4">
        <v>555929.4</v>
      </c>
      <c r="N24" s="4">
        <v>115201.76</v>
      </c>
      <c r="P24">
        <f t="shared" si="0"/>
        <v>0</v>
      </c>
      <c r="Q24">
        <f t="shared" si="1"/>
        <v>1</v>
      </c>
      <c r="S24">
        <f t="shared" si="2"/>
        <v>1</v>
      </c>
      <c r="T24" s="4">
        <f t="shared" si="3"/>
        <v>0</v>
      </c>
      <c r="U24">
        <f t="shared" si="4"/>
        <v>0</v>
      </c>
      <c r="X24" s="4"/>
    </row>
    <row r="25" spans="1:24">
      <c r="A25" s="4" t="s">
        <v>25</v>
      </c>
      <c r="B25" s="5">
        <v>45748</v>
      </c>
      <c r="C25" s="4" t="s">
        <v>20</v>
      </c>
      <c r="D25" s="4" t="s">
        <v>16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 s="4">
        <v>0</v>
      </c>
      <c r="L25">
        <v>4.7</v>
      </c>
      <c r="M25" s="4">
        <v>565810.99</v>
      </c>
      <c r="N25" s="4">
        <v>77825.460000000006</v>
      </c>
      <c r="P25">
        <f t="shared" si="0"/>
        <v>0</v>
      </c>
      <c r="Q25">
        <f t="shared" si="1"/>
        <v>1</v>
      </c>
      <c r="S25">
        <f t="shared" si="2"/>
        <v>1</v>
      </c>
      <c r="T25" s="4">
        <f t="shared" si="3"/>
        <v>0</v>
      </c>
      <c r="U25">
        <f t="shared" si="4"/>
        <v>0</v>
      </c>
      <c r="X25" s="4"/>
    </row>
    <row r="26" spans="1:24">
      <c r="A26" s="4" t="s">
        <v>26</v>
      </c>
      <c r="B26" s="5">
        <v>45658</v>
      </c>
      <c r="C26" s="4" t="s">
        <v>27</v>
      </c>
      <c r="D26" s="4" t="s">
        <v>28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 s="4">
        <v>0</v>
      </c>
      <c r="L26">
        <v>3.5</v>
      </c>
      <c r="M26" s="4">
        <v>811771.14</v>
      </c>
      <c r="N26" s="4">
        <v>148756.24</v>
      </c>
      <c r="P26">
        <f t="shared" si="0"/>
        <v>0</v>
      </c>
      <c r="Q26">
        <f t="shared" si="1"/>
        <v>0</v>
      </c>
      <c r="S26">
        <f t="shared" si="2"/>
        <v>0</v>
      </c>
      <c r="T26" s="4">
        <f t="shared" si="3"/>
        <v>0</v>
      </c>
      <c r="U26">
        <f t="shared" si="4"/>
        <v>1</v>
      </c>
      <c r="X26" s="4"/>
    </row>
    <row r="27" spans="1:24">
      <c r="A27" s="4" t="s">
        <v>26</v>
      </c>
      <c r="B27" s="5">
        <v>45689</v>
      </c>
      <c r="C27" s="4" t="s">
        <v>27</v>
      </c>
      <c r="D27" s="4" t="s">
        <v>28</v>
      </c>
      <c r="E27" s="4">
        <v>172415.52</v>
      </c>
      <c r="F27" s="4">
        <v>8927</v>
      </c>
      <c r="G27" s="4">
        <v>0.14000000000000001</v>
      </c>
      <c r="H27" s="4">
        <v>22</v>
      </c>
      <c r="I27" s="4">
        <v>86.2</v>
      </c>
      <c r="J27" s="4">
        <v>7.04</v>
      </c>
      <c r="K27" s="4">
        <v>0</v>
      </c>
      <c r="L27">
        <v>3.9</v>
      </c>
      <c r="M27" s="4">
        <v>800451.94</v>
      </c>
      <c r="N27" s="4">
        <v>111572.29</v>
      </c>
      <c r="P27">
        <f t="shared" si="0"/>
        <v>0</v>
      </c>
      <c r="Q27">
        <f t="shared" si="1"/>
        <v>0</v>
      </c>
      <c r="S27">
        <f t="shared" si="2"/>
        <v>0</v>
      </c>
      <c r="T27" s="4">
        <f t="shared" si="3"/>
        <v>0</v>
      </c>
      <c r="U27">
        <f t="shared" si="4"/>
        <v>1</v>
      </c>
      <c r="X27" s="4"/>
    </row>
    <row r="28" spans="1:24">
      <c r="A28" s="4" t="s">
        <v>26</v>
      </c>
      <c r="B28" s="5">
        <v>45717</v>
      </c>
      <c r="C28" s="4" t="s">
        <v>27</v>
      </c>
      <c r="D28" s="4" t="s">
        <v>28</v>
      </c>
      <c r="E28" s="4">
        <v>55270.52</v>
      </c>
      <c r="F28" s="4">
        <v>9315</v>
      </c>
      <c r="G28" s="4">
        <v>0.16900000000000001</v>
      </c>
      <c r="H28" s="4">
        <v>23</v>
      </c>
      <c r="I28" s="4">
        <v>91.9</v>
      </c>
      <c r="J28" s="4">
        <v>4.9400000000000004</v>
      </c>
      <c r="K28" s="4">
        <v>0</v>
      </c>
      <c r="L28">
        <v>4</v>
      </c>
      <c r="M28" s="4">
        <v>783672.82</v>
      </c>
      <c r="N28" s="4">
        <v>112577.14</v>
      </c>
      <c r="P28">
        <f t="shared" si="0"/>
        <v>0</v>
      </c>
      <c r="Q28">
        <f t="shared" si="1"/>
        <v>0</v>
      </c>
      <c r="S28">
        <f t="shared" si="2"/>
        <v>0</v>
      </c>
      <c r="T28" s="4">
        <f t="shared" si="3"/>
        <v>0</v>
      </c>
      <c r="U28">
        <f t="shared" si="4"/>
        <v>1</v>
      </c>
      <c r="X28" s="4"/>
    </row>
    <row r="29" spans="1:24">
      <c r="A29" s="4" t="s">
        <v>26</v>
      </c>
      <c r="B29" s="5">
        <v>45748</v>
      </c>
      <c r="C29" s="4" t="s">
        <v>27</v>
      </c>
      <c r="D29" s="4" t="s">
        <v>28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16.149999999999999</v>
      </c>
      <c r="K29" s="4">
        <v>0</v>
      </c>
      <c r="L29">
        <v>3.7</v>
      </c>
      <c r="M29" s="4">
        <v>701641.97</v>
      </c>
      <c r="N29" s="4">
        <v>106111.86</v>
      </c>
      <c r="P29">
        <f t="shared" si="0"/>
        <v>0</v>
      </c>
      <c r="Q29">
        <f t="shared" si="1"/>
        <v>0</v>
      </c>
      <c r="S29">
        <f t="shared" si="2"/>
        <v>0</v>
      </c>
      <c r="T29" s="4">
        <f t="shared" si="3"/>
        <v>0</v>
      </c>
      <c r="U29">
        <f t="shared" si="4"/>
        <v>1</v>
      </c>
      <c r="X29" s="4"/>
    </row>
    <row r="30" spans="1:24">
      <c r="A30" s="4" t="s">
        <v>29</v>
      </c>
      <c r="B30" s="5">
        <v>45658</v>
      </c>
      <c r="C30" s="4" t="s">
        <v>15</v>
      </c>
      <c r="D30" s="4" t="s">
        <v>16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 s="4">
        <v>0</v>
      </c>
      <c r="L30">
        <v>3.6</v>
      </c>
      <c r="M30" s="4">
        <v>511844.41</v>
      </c>
      <c r="N30" s="4">
        <v>72774.44</v>
      </c>
      <c r="P30">
        <f t="shared" si="0"/>
        <v>0</v>
      </c>
      <c r="Q30">
        <f t="shared" si="1"/>
        <v>1</v>
      </c>
      <c r="S30">
        <f t="shared" si="2"/>
        <v>0</v>
      </c>
      <c r="T30" s="4">
        <f t="shared" si="3"/>
        <v>0</v>
      </c>
      <c r="U30">
        <f t="shared" si="4"/>
        <v>0</v>
      </c>
      <c r="X30" s="4"/>
    </row>
    <row r="31" spans="1:24">
      <c r="A31" s="4" t="s">
        <v>29</v>
      </c>
      <c r="B31" s="5">
        <v>45689</v>
      </c>
      <c r="C31" s="4" t="s">
        <v>15</v>
      </c>
      <c r="D31" s="4" t="s">
        <v>16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 s="4">
        <v>0</v>
      </c>
      <c r="L31">
        <v>3.1</v>
      </c>
      <c r="M31" s="4">
        <v>537383.79</v>
      </c>
      <c r="N31" s="4">
        <v>63773.27</v>
      </c>
      <c r="P31">
        <f t="shared" si="0"/>
        <v>0</v>
      </c>
      <c r="Q31">
        <f t="shared" si="1"/>
        <v>1</v>
      </c>
      <c r="S31">
        <f t="shared" si="2"/>
        <v>0</v>
      </c>
      <c r="T31" s="4">
        <f t="shared" si="3"/>
        <v>0</v>
      </c>
      <c r="U31">
        <f t="shared" si="4"/>
        <v>0</v>
      </c>
      <c r="X31" s="4"/>
    </row>
    <row r="32" spans="1:24">
      <c r="A32" s="4" t="s">
        <v>29</v>
      </c>
      <c r="B32" s="5">
        <v>45717</v>
      </c>
      <c r="C32" s="4" t="s">
        <v>15</v>
      </c>
      <c r="D32" s="4" t="s">
        <v>16</v>
      </c>
      <c r="E32" s="4">
        <v>44970.080000000002</v>
      </c>
      <c r="F32" s="4">
        <v>2471</v>
      </c>
      <c r="G32" s="4">
        <v>0.13600000000000001</v>
      </c>
      <c r="H32" s="4">
        <v>11</v>
      </c>
      <c r="I32" s="4">
        <v>87.6</v>
      </c>
      <c r="J32" s="4">
        <v>3.01</v>
      </c>
      <c r="K32" s="4">
        <v>1</v>
      </c>
      <c r="L32">
        <v>3.7</v>
      </c>
      <c r="M32" s="4">
        <v>500173.02</v>
      </c>
      <c r="N32" s="4">
        <v>70982.05</v>
      </c>
      <c r="P32">
        <f t="shared" si="0"/>
        <v>0</v>
      </c>
      <c r="Q32">
        <f t="shared" si="1"/>
        <v>1</v>
      </c>
      <c r="S32">
        <f t="shared" si="2"/>
        <v>0</v>
      </c>
      <c r="T32" s="4">
        <f t="shared" si="3"/>
        <v>0</v>
      </c>
      <c r="U32">
        <f t="shared" si="4"/>
        <v>0</v>
      </c>
      <c r="X32" s="4"/>
    </row>
    <row r="33" spans="1:24">
      <c r="A33" s="4" t="s">
        <v>29</v>
      </c>
      <c r="B33" s="5">
        <v>45748</v>
      </c>
      <c r="C33" s="4" t="s">
        <v>15</v>
      </c>
      <c r="D33" s="4" t="s">
        <v>16</v>
      </c>
      <c r="E33" s="4">
        <v>69816.350000000006</v>
      </c>
      <c r="F33" s="4">
        <v>971</v>
      </c>
      <c r="G33" s="4">
        <v>0.16800000000000001</v>
      </c>
      <c r="H33" s="4">
        <v>5</v>
      </c>
      <c r="I33" s="4">
        <v>89.9</v>
      </c>
      <c r="J33" s="4">
        <v>12.15</v>
      </c>
      <c r="K33" s="4">
        <v>0</v>
      </c>
      <c r="L33">
        <v>3.6</v>
      </c>
      <c r="M33" s="4">
        <v>427917.38</v>
      </c>
      <c r="N33" s="4">
        <v>81824.31</v>
      </c>
      <c r="P33">
        <f t="shared" si="0"/>
        <v>0</v>
      </c>
      <c r="Q33">
        <f t="shared" si="1"/>
        <v>1</v>
      </c>
      <c r="S33">
        <f t="shared" si="2"/>
        <v>0</v>
      </c>
      <c r="T33" s="4">
        <f t="shared" si="3"/>
        <v>0</v>
      </c>
      <c r="U33">
        <f t="shared" si="4"/>
        <v>0</v>
      </c>
      <c r="X33" s="4"/>
    </row>
    <row r="34" spans="1:24">
      <c r="A34" s="4" t="s">
        <v>30</v>
      </c>
      <c r="B34" s="5">
        <v>45658</v>
      </c>
      <c r="C34" s="4" t="s">
        <v>20</v>
      </c>
      <c r="D34" s="4" t="s">
        <v>16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 s="4">
        <v>0</v>
      </c>
      <c r="L34">
        <v>4.2</v>
      </c>
      <c r="M34" s="4">
        <v>641865.03</v>
      </c>
      <c r="N34" s="4">
        <v>81342.58</v>
      </c>
      <c r="P34">
        <f t="shared" si="0"/>
        <v>0</v>
      </c>
      <c r="Q34">
        <f t="shared" si="1"/>
        <v>1</v>
      </c>
      <c r="S34">
        <f t="shared" si="2"/>
        <v>1</v>
      </c>
      <c r="T34" s="4">
        <f t="shared" si="3"/>
        <v>0</v>
      </c>
      <c r="U34">
        <f t="shared" si="4"/>
        <v>0</v>
      </c>
      <c r="X34" s="4"/>
    </row>
    <row r="35" spans="1:24">
      <c r="A35" s="4" t="s">
        <v>30</v>
      </c>
      <c r="B35" s="5">
        <v>45689</v>
      </c>
      <c r="C35" s="4" t="s">
        <v>20</v>
      </c>
      <c r="D35" s="4" t="s">
        <v>16</v>
      </c>
      <c r="E35" s="4">
        <v>73771.91</v>
      </c>
      <c r="F35" s="4">
        <v>11695</v>
      </c>
      <c r="G35" s="4">
        <v>7.0000000000000007E-2</v>
      </c>
      <c r="H35" s="4">
        <v>25</v>
      </c>
      <c r="I35" s="4">
        <v>84.7</v>
      </c>
      <c r="J35" s="4">
        <v>0.62</v>
      </c>
      <c r="K35" s="4">
        <v>0</v>
      </c>
      <c r="L35">
        <v>3.9246794871794881</v>
      </c>
      <c r="M35" s="4">
        <v>799477.76000000001</v>
      </c>
      <c r="N35" s="4">
        <v>164974.41</v>
      </c>
      <c r="P35">
        <f t="shared" si="0"/>
        <v>0</v>
      </c>
      <c r="Q35">
        <f t="shared" si="1"/>
        <v>1</v>
      </c>
      <c r="S35">
        <f t="shared" si="2"/>
        <v>1</v>
      </c>
      <c r="T35" s="4">
        <f t="shared" si="3"/>
        <v>0</v>
      </c>
      <c r="U35">
        <f t="shared" si="4"/>
        <v>0</v>
      </c>
      <c r="X35" s="4"/>
    </row>
    <row r="36" spans="1:24">
      <c r="A36" s="4" t="s">
        <v>30</v>
      </c>
      <c r="B36" s="5">
        <v>45717</v>
      </c>
      <c r="C36" s="4" t="s">
        <v>20</v>
      </c>
      <c r="D36" s="4" t="s">
        <v>16</v>
      </c>
      <c r="E36" s="4">
        <v>74413.88</v>
      </c>
      <c r="F36" s="4">
        <v>9449</v>
      </c>
      <c r="G36" s="4">
        <v>3.9E-2</v>
      </c>
      <c r="H36" s="4">
        <v>23</v>
      </c>
      <c r="I36" s="4">
        <v>92.1</v>
      </c>
      <c r="J36" s="4">
        <v>2.12</v>
      </c>
      <c r="K36" s="4">
        <v>0</v>
      </c>
      <c r="L36">
        <v>3.5</v>
      </c>
      <c r="M36" s="4">
        <v>798952.17</v>
      </c>
      <c r="N36" s="4">
        <v>161499.04</v>
      </c>
      <c r="P36">
        <f t="shared" si="0"/>
        <v>0</v>
      </c>
      <c r="Q36">
        <f t="shared" si="1"/>
        <v>1</v>
      </c>
      <c r="S36">
        <f t="shared" si="2"/>
        <v>1</v>
      </c>
      <c r="T36" s="4">
        <f t="shared" si="3"/>
        <v>0</v>
      </c>
      <c r="U36">
        <f t="shared" si="4"/>
        <v>0</v>
      </c>
      <c r="X36" s="4"/>
    </row>
    <row r="37" spans="1:24">
      <c r="A37" s="4" t="s">
        <v>30</v>
      </c>
      <c r="B37" s="5">
        <v>45748</v>
      </c>
      <c r="C37" s="4" t="s">
        <v>20</v>
      </c>
      <c r="D37" s="4" t="s">
        <v>16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 s="4">
        <v>0</v>
      </c>
      <c r="L37">
        <v>3.6</v>
      </c>
      <c r="M37" s="4">
        <v>800979.78</v>
      </c>
      <c r="N37" s="4">
        <v>149242.26999999999</v>
      </c>
      <c r="P37">
        <f t="shared" si="0"/>
        <v>0</v>
      </c>
      <c r="Q37">
        <f t="shared" si="1"/>
        <v>1</v>
      </c>
      <c r="S37">
        <f t="shared" si="2"/>
        <v>1</v>
      </c>
      <c r="T37" s="4">
        <f t="shared" si="3"/>
        <v>0</v>
      </c>
      <c r="U37">
        <f t="shared" si="4"/>
        <v>0</v>
      </c>
      <c r="X37" s="4"/>
    </row>
    <row r="38" spans="1:24">
      <c r="A38" s="4" t="s">
        <v>31</v>
      </c>
      <c r="B38" s="5">
        <v>45658</v>
      </c>
      <c r="C38" s="4" t="s">
        <v>20</v>
      </c>
      <c r="D38" s="4" t="s">
        <v>28</v>
      </c>
      <c r="E38" s="4">
        <v>75269.87</v>
      </c>
      <c r="F38" s="4">
        <v>8838</v>
      </c>
      <c r="G38" s="4">
        <v>9.1999999999999998E-2</v>
      </c>
      <c r="H38" s="4">
        <v>21</v>
      </c>
      <c r="I38" s="4">
        <v>83.1</v>
      </c>
      <c r="J38" s="4">
        <v>9.56</v>
      </c>
      <c r="K38" s="4">
        <v>1</v>
      </c>
      <c r="L38">
        <v>4.2</v>
      </c>
      <c r="M38" s="4">
        <v>820593.93</v>
      </c>
      <c r="N38" s="4">
        <v>115860.06</v>
      </c>
      <c r="P38">
        <f t="shared" si="0"/>
        <v>0</v>
      </c>
      <c r="Q38">
        <f t="shared" si="1"/>
        <v>0</v>
      </c>
      <c r="S38">
        <f t="shared" si="2"/>
        <v>1</v>
      </c>
      <c r="T38" s="4">
        <f t="shared" si="3"/>
        <v>0</v>
      </c>
      <c r="U38">
        <f t="shared" si="4"/>
        <v>0</v>
      </c>
      <c r="X38" s="4"/>
    </row>
    <row r="39" spans="1:24">
      <c r="A39" s="4" t="s">
        <v>31</v>
      </c>
      <c r="B39" s="5">
        <v>45689</v>
      </c>
      <c r="C39" s="4" t="s">
        <v>20</v>
      </c>
      <c r="D39" s="4" t="s">
        <v>28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9.0500000000000007</v>
      </c>
      <c r="K39" s="4">
        <v>0</v>
      </c>
      <c r="L39">
        <v>3.8</v>
      </c>
      <c r="M39" s="4">
        <v>718330.53</v>
      </c>
      <c r="N39" s="4">
        <v>93247.9</v>
      </c>
      <c r="P39">
        <f t="shared" si="0"/>
        <v>0</v>
      </c>
      <c r="Q39">
        <f t="shared" si="1"/>
        <v>0</v>
      </c>
      <c r="S39">
        <f t="shared" si="2"/>
        <v>1</v>
      </c>
      <c r="T39" s="4">
        <f t="shared" si="3"/>
        <v>0</v>
      </c>
      <c r="U39">
        <f t="shared" si="4"/>
        <v>0</v>
      </c>
      <c r="X39" s="4"/>
    </row>
    <row r="40" spans="1:24">
      <c r="A40" s="4" t="s">
        <v>31</v>
      </c>
      <c r="B40" s="5">
        <v>45717</v>
      </c>
      <c r="C40" s="4" t="s">
        <v>20</v>
      </c>
      <c r="D40" s="4" t="s">
        <v>28</v>
      </c>
      <c r="E40" s="4">
        <v>93381.26</v>
      </c>
      <c r="F40" s="4">
        <v>7562</v>
      </c>
      <c r="G40" s="4">
        <v>0.19800000000000001</v>
      </c>
      <c r="H40" s="4">
        <v>19</v>
      </c>
      <c r="I40" s="4">
        <v>82.9</v>
      </c>
      <c r="J40" s="4">
        <v>5.05</v>
      </c>
      <c r="K40" s="4">
        <v>0</v>
      </c>
      <c r="L40">
        <v>4</v>
      </c>
      <c r="M40" s="4">
        <v>736633.4</v>
      </c>
      <c r="N40" s="4">
        <v>115654.66</v>
      </c>
      <c r="P40">
        <f t="shared" si="0"/>
        <v>0</v>
      </c>
      <c r="Q40">
        <f t="shared" si="1"/>
        <v>0</v>
      </c>
      <c r="S40">
        <f t="shared" si="2"/>
        <v>1</v>
      </c>
      <c r="T40" s="4">
        <f t="shared" si="3"/>
        <v>0</v>
      </c>
      <c r="U40">
        <f t="shared" si="4"/>
        <v>0</v>
      </c>
      <c r="X40" s="4"/>
    </row>
    <row r="41" spans="1:24">
      <c r="A41" s="4" t="s">
        <v>31</v>
      </c>
      <c r="B41" s="5">
        <v>45748</v>
      </c>
      <c r="C41" s="4" t="s">
        <v>20</v>
      </c>
      <c r="D41" s="4" t="s">
        <v>28</v>
      </c>
      <c r="E41" s="4">
        <v>65012.19</v>
      </c>
      <c r="F41" s="4">
        <v>9598</v>
      </c>
      <c r="G41" s="4">
        <v>8.5000000000000006E-2</v>
      </c>
      <c r="H41" s="4">
        <v>24</v>
      </c>
      <c r="I41" s="4">
        <v>98.3</v>
      </c>
      <c r="J41" s="4">
        <v>0.89</v>
      </c>
      <c r="K41" s="4">
        <v>0</v>
      </c>
      <c r="L41">
        <v>3.8</v>
      </c>
      <c r="M41" s="4">
        <v>828623.85</v>
      </c>
      <c r="N41" s="4">
        <v>167320.51999999999</v>
      </c>
      <c r="P41">
        <f t="shared" si="0"/>
        <v>0</v>
      </c>
      <c r="Q41">
        <f t="shared" si="1"/>
        <v>0</v>
      </c>
      <c r="S41">
        <f t="shared" si="2"/>
        <v>1</v>
      </c>
      <c r="T41" s="4">
        <f t="shared" si="3"/>
        <v>0</v>
      </c>
      <c r="U41">
        <f t="shared" si="4"/>
        <v>0</v>
      </c>
      <c r="X41" s="4"/>
    </row>
    <row r="42" spans="1:24">
      <c r="A42" s="4" t="s">
        <v>32</v>
      </c>
      <c r="B42" s="5">
        <v>45658</v>
      </c>
      <c r="C42" s="4" t="s">
        <v>15</v>
      </c>
      <c r="D42" s="4" t="s">
        <v>28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 s="4">
        <v>0</v>
      </c>
      <c r="L42">
        <v>4.4000000000000004</v>
      </c>
      <c r="M42" s="4">
        <v>592195.85</v>
      </c>
      <c r="N42" s="4">
        <v>92291.56</v>
      </c>
      <c r="P42">
        <f t="shared" si="0"/>
        <v>0</v>
      </c>
      <c r="Q42">
        <f t="shared" si="1"/>
        <v>0</v>
      </c>
      <c r="S42">
        <f t="shared" si="2"/>
        <v>0</v>
      </c>
      <c r="T42" s="4">
        <f t="shared" si="3"/>
        <v>0</v>
      </c>
      <c r="U42">
        <f t="shared" si="4"/>
        <v>0</v>
      </c>
      <c r="X42" s="4"/>
    </row>
    <row r="43" spans="1:24">
      <c r="A43" s="4" t="s">
        <v>32</v>
      </c>
      <c r="B43" s="5">
        <v>45689</v>
      </c>
      <c r="C43" s="4" t="s">
        <v>15</v>
      </c>
      <c r="D43" s="4" t="s">
        <v>28</v>
      </c>
      <c r="E43" s="4">
        <v>46123.88</v>
      </c>
      <c r="F43" s="4">
        <v>3227</v>
      </c>
      <c r="G43" s="4">
        <v>0.14299999999999999</v>
      </c>
      <c r="H43" s="4">
        <v>10</v>
      </c>
      <c r="I43" s="4">
        <v>75.400000000000006</v>
      </c>
      <c r="J43" s="4">
        <v>1.06</v>
      </c>
      <c r="K43" s="4">
        <v>0</v>
      </c>
      <c r="L43">
        <v>4.4000000000000004</v>
      </c>
      <c r="M43" s="4">
        <v>532644.46</v>
      </c>
      <c r="N43" s="4">
        <v>60681.32</v>
      </c>
      <c r="P43">
        <f t="shared" si="0"/>
        <v>0</v>
      </c>
      <c r="Q43">
        <f t="shared" si="1"/>
        <v>0</v>
      </c>
      <c r="S43">
        <f t="shared" si="2"/>
        <v>0</v>
      </c>
      <c r="T43" s="4">
        <f t="shared" si="3"/>
        <v>0</v>
      </c>
      <c r="U43">
        <f t="shared" si="4"/>
        <v>0</v>
      </c>
      <c r="X43" s="4"/>
    </row>
    <row r="44" spans="1:24">
      <c r="A44" s="4" t="s">
        <v>32</v>
      </c>
      <c r="B44" s="5">
        <v>45717</v>
      </c>
      <c r="C44" s="4" t="s">
        <v>15</v>
      </c>
      <c r="D44" s="4" t="s">
        <v>28</v>
      </c>
      <c r="E44" s="4">
        <v>68077.539999999994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 s="4">
        <v>1</v>
      </c>
      <c r="L44">
        <v>4</v>
      </c>
      <c r="M44" s="4">
        <v>657429.18000000005</v>
      </c>
      <c r="N44" s="4">
        <v>88919.74</v>
      </c>
      <c r="P44">
        <f t="shared" si="0"/>
        <v>0</v>
      </c>
      <c r="Q44">
        <f t="shared" si="1"/>
        <v>0</v>
      </c>
      <c r="S44">
        <f t="shared" si="2"/>
        <v>0</v>
      </c>
      <c r="T44" s="4">
        <f t="shared" si="3"/>
        <v>0</v>
      </c>
      <c r="U44">
        <f t="shared" si="4"/>
        <v>0</v>
      </c>
      <c r="X44" s="4"/>
    </row>
    <row r="45" spans="1:24">
      <c r="A45" s="4" t="s">
        <v>32</v>
      </c>
      <c r="B45" s="5">
        <v>45748</v>
      </c>
      <c r="C45" s="4" t="s">
        <v>15</v>
      </c>
      <c r="D45" s="4" t="s">
        <v>28</v>
      </c>
      <c r="E45" s="4">
        <v>64882.14</v>
      </c>
      <c r="F45" s="4">
        <v>3642</v>
      </c>
      <c r="G45" s="4">
        <v>1.9E-2</v>
      </c>
      <c r="H45" s="4">
        <v>13</v>
      </c>
      <c r="I45" s="4">
        <v>87.8</v>
      </c>
      <c r="J45" s="4">
        <v>4.5199999999999996</v>
      </c>
      <c r="K45" s="4">
        <v>0</v>
      </c>
      <c r="L45">
        <v>4.2</v>
      </c>
      <c r="M45" s="4">
        <v>605178</v>
      </c>
      <c r="N45" s="4">
        <v>106958.74</v>
      </c>
      <c r="P45">
        <f t="shared" si="0"/>
        <v>0</v>
      </c>
      <c r="Q45">
        <f t="shared" si="1"/>
        <v>0</v>
      </c>
      <c r="S45">
        <f t="shared" si="2"/>
        <v>0</v>
      </c>
      <c r="T45" s="4">
        <f t="shared" si="3"/>
        <v>0</v>
      </c>
      <c r="U45">
        <f t="shared" si="4"/>
        <v>0</v>
      </c>
      <c r="X45" s="4"/>
    </row>
    <row r="46" spans="1:24">
      <c r="A46" s="4" t="s">
        <v>33</v>
      </c>
      <c r="B46" s="5">
        <v>45658</v>
      </c>
      <c r="C46" s="4" t="s">
        <v>27</v>
      </c>
      <c r="D46" s="4" t="s">
        <v>16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 s="4">
        <v>0</v>
      </c>
      <c r="L46">
        <v>3.2</v>
      </c>
      <c r="M46" s="4">
        <v>595467.6</v>
      </c>
      <c r="N46" s="4">
        <v>104276.46</v>
      </c>
      <c r="P46">
        <f t="shared" si="0"/>
        <v>0</v>
      </c>
      <c r="Q46">
        <f t="shared" si="1"/>
        <v>1</v>
      </c>
      <c r="S46">
        <f t="shared" si="2"/>
        <v>0</v>
      </c>
      <c r="T46" s="4">
        <f t="shared" si="3"/>
        <v>0</v>
      </c>
      <c r="U46">
        <f t="shared" si="4"/>
        <v>1</v>
      </c>
      <c r="X46" s="4"/>
    </row>
    <row r="47" spans="1:24">
      <c r="A47" s="4" t="s">
        <v>33</v>
      </c>
      <c r="B47" s="5">
        <v>45689</v>
      </c>
      <c r="C47" s="4" t="s">
        <v>27</v>
      </c>
      <c r="D47" s="4" t="s">
        <v>16</v>
      </c>
      <c r="E47" s="4">
        <v>63630.21</v>
      </c>
      <c r="F47" s="4">
        <v>4460</v>
      </c>
      <c r="G47" s="4">
        <v>0.23499999999999999</v>
      </c>
      <c r="H47" s="4">
        <v>14</v>
      </c>
      <c r="I47" s="4">
        <v>98.6</v>
      </c>
      <c r="J47" s="4">
        <v>5.52</v>
      </c>
      <c r="K47" s="4">
        <v>0</v>
      </c>
      <c r="L47">
        <v>3.5</v>
      </c>
      <c r="M47" s="4">
        <v>599603.4</v>
      </c>
      <c r="N47" s="4">
        <v>112685.12</v>
      </c>
      <c r="P47">
        <f t="shared" si="0"/>
        <v>0</v>
      </c>
      <c r="Q47">
        <f t="shared" si="1"/>
        <v>1</v>
      </c>
      <c r="S47">
        <f t="shared" si="2"/>
        <v>0</v>
      </c>
      <c r="T47" s="4">
        <f t="shared" si="3"/>
        <v>0</v>
      </c>
      <c r="U47">
        <f t="shared" si="4"/>
        <v>1</v>
      </c>
      <c r="X47" s="4"/>
    </row>
    <row r="48" spans="1:24">
      <c r="A48" s="4" t="s">
        <v>33</v>
      </c>
      <c r="B48" s="5">
        <v>45717</v>
      </c>
      <c r="C48" s="4" t="s">
        <v>27</v>
      </c>
      <c r="D48" s="4" t="s">
        <v>16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 s="4">
        <v>1</v>
      </c>
      <c r="L48">
        <v>3.2</v>
      </c>
      <c r="M48" s="4">
        <v>614800.09</v>
      </c>
      <c r="N48" s="4">
        <v>100044.2</v>
      </c>
      <c r="P48">
        <f t="shared" si="0"/>
        <v>0</v>
      </c>
      <c r="Q48">
        <f t="shared" si="1"/>
        <v>1</v>
      </c>
      <c r="S48">
        <f t="shared" si="2"/>
        <v>0</v>
      </c>
      <c r="T48" s="4">
        <f t="shared" si="3"/>
        <v>0</v>
      </c>
      <c r="U48">
        <f t="shared" si="4"/>
        <v>1</v>
      </c>
      <c r="X48" s="4"/>
    </row>
    <row r="49" spans="1:24">
      <c r="A49" s="4" t="s">
        <v>33</v>
      </c>
      <c r="B49" s="5">
        <v>45748</v>
      </c>
      <c r="C49" s="4" t="s">
        <v>27</v>
      </c>
      <c r="D49" s="4" t="s">
        <v>16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 s="4">
        <v>0</v>
      </c>
      <c r="L49">
        <v>3.3</v>
      </c>
      <c r="M49" s="4">
        <v>585365.73</v>
      </c>
      <c r="N49" s="4">
        <v>81011.520000000004</v>
      </c>
      <c r="P49">
        <f t="shared" si="0"/>
        <v>0</v>
      </c>
      <c r="Q49">
        <f t="shared" si="1"/>
        <v>1</v>
      </c>
      <c r="S49">
        <f t="shared" si="2"/>
        <v>0</v>
      </c>
      <c r="T49" s="4">
        <f t="shared" si="3"/>
        <v>0</v>
      </c>
      <c r="U49">
        <f t="shared" si="4"/>
        <v>1</v>
      </c>
      <c r="X49" s="4"/>
    </row>
    <row r="50" spans="1:24">
      <c r="A50" s="4" t="s">
        <v>34</v>
      </c>
      <c r="B50" s="5">
        <v>45658</v>
      </c>
      <c r="C50" s="4" t="s">
        <v>20</v>
      </c>
      <c r="D50" s="4" t="s">
        <v>28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 s="4">
        <v>1</v>
      </c>
      <c r="L50">
        <v>4.7</v>
      </c>
      <c r="M50" s="4">
        <v>622811.74</v>
      </c>
      <c r="N50" s="4">
        <v>109978.35</v>
      </c>
      <c r="P50">
        <f t="shared" si="0"/>
        <v>0</v>
      </c>
      <c r="Q50">
        <f t="shared" si="1"/>
        <v>0</v>
      </c>
      <c r="S50">
        <f t="shared" si="2"/>
        <v>1</v>
      </c>
      <c r="T50" s="4">
        <f t="shared" si="3"/>
        <v>0</v>
      </c>
      <c r="U50">
        <f t="shared" si="4"/>
        <v>0</v>
      </c>
      <c r="X50" s="4"/>
    </row>
    <row r="51" spans="1:24">
      <c r="A51" s="4" t="s">
        <v>34</v>
      </c>
      <c r="B51" s="5">
        <v>45689</v>
      </c>
      <c r="C51" s="4" t="s">
        <v>20</v>
      </c>
      <c r="D51" s="4" t="s">
        <v>28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 s="4">
        <v>0</v>
      </c>
      <c r="L51">
        <v>4.5999999999999996</v>
      </c>
      <c r="M51" s="4">
        <v>603297.56999999995</v>
      </c>
      <c r="N51" s="4">
        <v>60592.26</v>
      </c>
      <c r="P51">
        <f t="shared" si="0"/>
        <v>0</v>
      </c>
      <c r="Q51">
        <f t="shared" si="1"/>
        <v>0</v>
      </c>
      <c r="S51">
        <f t="shared" si="2"/>
        <v>1</v>
      </c>
      <c r="T51" s="4">
        <f t="shared" si="3"/>
        <v>0</v>
      </c>
      <c r="U51">
        <f t="shared" si="4"/>
        <v>0</v>
      </c>
      <c r="X51" s="4"/>
    </row>
    <row r="52" spans="1:24">
      <c r="A52" s="4" t="s">
        <v>34</v>
      </c>
      <c r="B52" s="5">
        <v>45717</v>
      </c>
      <c r="C52" s="4" t="s">
        <v>20</v>
      </c>
      <c r="D52" s="4" t="s">
        <v>28</v>
      </c>
      <c r="E52" s="4">
        <v>48287.85</v>
      </c>
      <c r="F52" s="4">
        <v>5150</v>
      </c>
      <c r="G52" s="4">
        <v>8.0000000000000002E-3</v>
      </c>
      <c r="H52" s="4">
        <v>12</v>
      </c>
      <c r="I52" s="4">
        <v>80.400000000000006</v>
      </c>
      <c r="J52" s="4">
        <v>7.4</v>
      </c>
      <c r="K52" s="4">
        <v>0</v>
      </c>
      <c r="L52">
        <v>4.5</v>
      </c>
      <c r="M52" s="4">
        <v>625672.86</v>
      </c>
      <c r="N52" s="4">
        <v>118020.12</v>
      </c>
      <c r="P52">
        <f t="shared" si="0"/>
        <v>0</v>
      </c>
      <c r="Q52">
        <f t="shared" si="1"/>
        <v>0</v>
      </c>
      <c r="S52">
        <f t="shared" si="2"/>
        <v>1</v>
      </c>
      <c r="T52" s="4">
        <f t="shared" si="3"/>
        <v>0</v>
      </c>
      <c r="U52">
        <f t="shared" si="4"/>
        <v>0</v>
      </c>
      <c r="X52" s="4"/>
    </row>
    <row r="53" spans="1:24">
      <c r="A53" s="4" t="s">
        <v>34</v>
      </c>
      <c r="B53" s="5">
        <v>45748</v>
      </c>
      <c r="C53" s="4" t="s">
        <v>20</v>
      </c>
      <c r="D53" s="4" t="s">
        <v>28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 s="4">
        <v>0</v>
      </c>
      <c r="L53">
        <v>4.5999999999999996</v>
      </c>
      <c r="M53" s="4">
        <v>773815.14</v>
      </c>
      <c r="N53" s="4">
        <v>133948.39000000001</v>
      </c>
      <c r="P53">
        <f t="shared" si="0"/>
        <v>0</v>
      </c>
      <c r="Q53">
        <f t="shared" si="1"/>
        <v>0</v>
      </c>
      <c r="S53">
        <f t="shared" si="2"/>
        <v>1</v>
      </c>
      <c r="T53" s="4">
        <f t="shared" si="3"/>
        <v>0</v>
      </c>
      <c r="U53">
        <f t="shared" si="4"/>
        <v>0</v>
      </c>
      <c r="X53" s="4"/>
    </row>
    <row r="54" spans="1:24">
      <c r="A54" s="4" t="s">
        <v>35</v>
      </c>
      <c r="B54" s="5">
        <v>45658</v>
      </c>
      <c r="C54" s="4" t="s">
        <v>27</v>
      </c>
      <c r="D54" s="4" t="s">
        <v>18</v>
      </c>
      <c r="E54" s="4">
        <v>53015.46</v>
      </c>
      <c r="F54" s="4">
        <v>3279</v>
      </c>
      <c r="G54" s="4">
        <v>8.6999999999999994E-2</v>
      </c>
      <c r="H54" s="4">
        <v>9</v>
      </c>
      <c r="I54" s="4">
        <v>84.3</v>
      </c>
      <c r="J54" s="4">
        <v>22.02</v>
      </c>
      <c r="K54" s="4">
        <v>0</v>
      </c>
      <c r="L54">
        <v>3.9</v>
      </c>
      <c r="M54" s="4">
        <v>463534.25</v>
      </c>
      <c r="N54" s="4">
        <v>81834.539999999994</v>
      </c>
      <c r="P54">
        <f t="shared" si="0"/>
        <v>1</v>
      </c>
      <c r="Q54">
        <f t="shared" si="1"/>
        <v>0</v>
      </c>
      <c r="S54">
        <f t="shared" si="2"/>
        <v>0</v>
      </c>
      <c r="T54" s="4">
        <f t="shared" si="3"/>
        <v>0</v>
      </c>
      <c r="U54">
        <f t="shared" si="4"/>
        <v>1</v>
      </c>
      <c r="X54" s="4"/>
    </row>
    <row r="55" spans="1:24">
      <c r="A55" s="4" t="s">
        <v>35</v>
      </c>
      <c r="B55" s="5">
        <v>45689</v>
      </c>
      <c r="C55" s="4" t="s">
        <v>27</v>
      </c>
      <c r="D55" s="4" t="s">
        <v>18</v>
      </c>
      <c r="E55" s="4">
        <v>99874.01</v>
      </c>
      <c r="F55" s="4">
        <v>5887</v>
      </c>
      <c r="G55" s="4">
        <v>0.26200000000000001</v>
      </c>
      <c r="H55" s="4">
        <v>14</v>
      </c>
      <c r="I55" s="4">
        <v>88.7</v>
      </c>
      <c r="J55" s="4">
        <v>6.18</v>
      </c>
      <c r="K55" s="4">
        <v>0</v>
      </c>
      <c r="L55">
        <v>4.7</v>
      </c>
      <c r="M55" s="4">
        <v>746677.75</v>
      </c>
      <c r="N55" s="4">
        <v>122437.84</v>
      </c>
      <c r="P55">
        <f t="shared" si="0"/>
        <v>1</v>
      </c>
      <c r="Q55">
        <f t="shared" si="1"/>
        <v>0</v>
      </c>
      <c r="S55">
        <f t="shared" si="2"/>
        <v>0</v>
      </c>
      <c r="T55" s="4">
        <f t="shared" si="3"/>
        <v>0</v>
      </c>
      <c r="U55">
        <f t="shared" si="4"/>
        <v>1</v>
      </c>
      <c r="X55" s="4"/>
    </row>
    <row r="56" spans="1:24">
      <c r="A56" s="4" t="s">
        <v>35</v>
      </c>
      <c r="B56" s="5">
        <v>45717</v>
      </c>
      <c r="C56" s="4" t="s">
        <v>27</v>
      </c>
      <c r="D56" s="4" t="s">
        <v>18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 s="4">
        <v>0</v>
      </c>
      <c r="L56">
        <v>4.3</v>
      </c>
      <c r="M56" s="4">
        <v>720852.5</v>
      </c>
      <c r="N56" s="4">
        <v>98565.62</v>
      </c>
      <c r="P56">
        <f t="shared" si="0"/>
        <v>1</v>
      </c>
      <c r="Q56">
        <f t="shared" si="1"/>
        <v>0</v>
      </c>
      <c r="S56">
        <f t="shared" si="2"/>
        <v>0</v>
      </c>
      <c r="T56" s="4">
        <f t="shared" si="3"/>
        <v>0</v>
      </c>
      <c r="U56">
        <f t="shared" si="4"/>
        <v>1</v>
      </c>
      <c r="X56" s="4"/>
    </row>
    <row r="57" spans="1:24">
      <c r="A57" s="4" t="s">
        <v>35</v>
      </c>
      <c r="B57" s="5">
        <v>45748</v>
      </c>
      <c r="C57" s="4" t="s">
        <v>27</v>
      </c>
      <c r="D57" s="4" t="s">
        <v>18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 s="4">
        <v>0</v>
      </c>
      <c r="L57">
        <v>4.0999999999999996</v>
      </c>
      <c r="M57" s="4">
        <v>487464.91</v>
      </c>
      <c r="N57" s="4">
        <v>64562.26</v>
      </c>
      <c r="P57">
        <f t="shared" si="0"/>
        <v>1</v>
      </c>
      <c r="Q57">
        <f t="shared" si="1"/>
        <v>0</v>
      </c>
      <c r="S57">
        <f t="shared" si="2"/>
        <v>0</v>
      </c>
      <c r="T57" s="4">
        <f t="shared" si="3"/>
        <v>0</v>
      </c>
      <c r="U57">
        <f t="shared" si="4"/>
        <v>1</v>
      </c>
      <c r="X57" s="4"/>
    </row>
    <row r="58" spans="1:24">
      <c r="A58" s="4" t="s">
        <v>36</v>
      </c>
      <c r="B58" s="5">
        <v>45658</v>
      </c>
      <c r="C58" s="4" t="s">
        <v>15</v>
      </c>
      <c r="D58" s="4" t="s">
        <v>21</v>
      </c>
      <c r="E58" s="4">
        <v>19365.060000000001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 s="4">
        <v>0</v>
      </c>
      <c r="L58">
        <v>3.5</v>
      </c>
      <c r="M58" s="4">
        <v>518049.26</v>
      </c>
      <c r="N58" s="4">
        <v>108592.49</v>
      </c>
      <c r="P58">
        <f t="shared" si="0"/>
        <v>0</v>
      </c>
      <c r="Q58">
        <f t="shared" si="1"/>
        <v>0</v>
      </c>
      <c r="S58">
        <f t="shared" si="2"/>
        <v>0</v>
      </c>
      <c r="T58" s="4">
        <f t="shared" si="3"/>
        <v>0</v>
      </c>
      <c r="U58">
        <f t="shared" si="4"/>
        <v>0</v>
      </c>
      <c r="X58" s="4"/>
    </row>
    <row r="59" spans="1:24">
      <c r="A59" s="4" t="s">
        <v>36</v>
      </c>
      <c r="B59" s="5">
        <v>45689</v>
      </c>
      <c r="C59" s="4" t="s">
        <v>15</v>
      </c>
      <c r="D59" s="4" t="s">
        <v>21</v>
      </c>
      <c r="E59" s="4">
        <v>59405.68</v>
      </c>
      <c r="F59" s="4">
        <v>2515</v>
      </c>
      <c r="G59" s="4">
        <v>3.9E-2</v>
      </c>
      <c r="H59" s="4">
        <v>12</v>
      </c>
      <c r="I59" s="4">
        <v>76</v>
      </c>
      <c r="J59" s="4">
        <v>5.1100000000000003</v>
      </c>
      <c r="K59" s="4">
        <v>0</v>
      </c>
      <c r="L59">
        <v>3.7</v>
      </c>
      <c r="M59" s="4">
        <v>500298.48</v>
      </c>
      <c r="N59" s="4">
        <v>73461.320000000007</v>
      </c>
      <c r="P59">
        <f t="shared" si="0"/>
        <v>0</v>
      </c>
      <c r="Q59">
        <f t="shared" si="1"/>
        <v>0</v>
      </c>
      <c r="S59">
        <f t="shared" si="2"/>
        <v>0</v>
      </c>
      <c r="T59" s="4">
        <f t="shared" si="3"/>
        <v>0</v>
      </c>
      <c r="U59">
        <f t="shared" si="4"/>
        <v>0</v>
      </c>
      <c r="X59" s="4"/>
    </row>
    <row r="60" spans="1:24">
      <c r="A60" s="4" t="s">
        <v>36</v>
      </c>
      <c r="B60" s="5">
        <v>45717</v>
      </c>
      <c r="C60" s="4" t="s">
        <v>15</v>
      </c>
      <c r="D60" s="4" t="s">
        <v>21</v>
      </c>
      <c r="E60" s="4">
        <v>118910.48</v>
      </c>
      <c r="F60" s="4">
        <v>4022</v>
      </c>
      <c r="G60" s="4">
        <v>0.13700000000000001</v>
      </c>
      <c r="H60" s="4">
        <v>11</v>
      </c>
      <c r="I60" s="4">
        <v>87.1</v>
      </c>
      <c r="J60" s="4">
        <v>0.2</v>
      </c>
      <c r="K60" s="4">
        <v>0</v>
      </c>
      <c r="L60">
        <v>3.1</v>
      </c>
      <c r="M60" s="4">
        <v>617291.15</v>
      </c>
      <c r="N60" s="4">
        <v>117782</v>
      </c>
      <c r="P60">
        <f t="shared" si="0"/>
        <v>0</v>
      </c>
      <c r="Q60">
        <f t="shared" si="1"/>
        <v>0</v>
      </c>
      <c r="S60">
        <f t="shared" si="2"/>
        <v>0</v>
      </c>
      <c r="T60" s="4">
        <f t="shared" si="3"/>
        <v>0</v>
      </c>
      <c r="U60">
        <f t="shared" si="4"/>
        <v>0</v>
      </c>
      <c r="X60" s="4"/>
    </row>
    <row r="61" spans="1:24">
      <c r="A61" s="4" t="s">
        <v>36</v>
      </c>
      <c r="B61" s="5">
        <v>45748</v>
      </c>
      <c r="C61" s="4" t="s">
        <v>15</v>
      </c>
      <c r="D61" s="4" t="s">
        <v>21</v>
      </c>
      <c r="E61" s="4">
        <v>52952.12</v>
      </c>
      <c r="F61" s="4">
        <v>4377</v>
      </c>
      <c r="G61" s="4">
        <v>9.1999999999999998E-2</v>
      </c>
      <c r="H61" s="4">
        <v>14</v>
      </c>
      <c r="I61" s="4">
        <v>88.6</v>
      </c>
      <c r="J61" s="4">
        <v>13.59</v>
      </c>
      <c r="K61" s="4">
        <v>0</v>
      </c>
      <c r="L61">
        <v>3.1</v>
      </c>
      <c r="M61" s="4">
        <v>553756.43000000005</v>
      </c>
      <c r="N61" s="4">
        <v>86166.77</v>
      </c>
      <c r="P61">
        <f t="shared" si="0"/>
        <v>0</v>
      </c>
      <c r="Q61">
        <f t="shared" si="1"/>
        <v>0</v>
      </c>
      <c r="S61">
        <f t="shared" si="2"/>
        <v>0</v>
      </c>
      <c r="T61" s="4">
        <f t="shared" si="3"/>
        <v>0</v>
      </c>
      <c r="U61">
        <f t="shared" si="4"/>
        <v>0</v>
      </c>
      <c r="X61" s="4"/>
    </row>
    <row r="62" spans="1:24">
      <c r="A62" s="4" t="s">
        <v>37</v>
      </c>
      <c r="B62" s="5">
        <v>45658</v>
      </c>
      <c r="C62" s="4" t="s">
        <v>24</v>
      </c>
      <c r="D62" s="4" t="s">
        <v>18</v>
      </c>
      <c r="E62" s="4">
        <v>74907.98</v>
      </c>
      <c r="F62" s="4">
        <v>5306</v>
      </c>
      <c r="G62" s="4">
        <v>6.2E-2</v>
      </c>
      <c r="H62" s="4">
        <v>16</v>
      </c>
      <c r="I62" s="4">
        <v>95.6</v>
      </c>
      <c r="J62" s="4">
        <v>1.02</v>
      </c>
      <c r="K62" s="4">
        <v>0</v>
      </c>
      <c r="L62">
        <v>3.7</v>
      </c>
      <c r="M62" s="4">
        <v>749559.71</v>
      </c>
      <c r="N62" s="4">
        <v>144522.53</v>
      </c>
      <c r="P62">
        <f t="shared" si="0"/>
        <v>1</v>
      </c>
      <c r="Q62">
        <f t="shared" si="1"/>
        <v>0</v>
      </c>
      <c r="S62">
        <f t="shared" si="2"/>
        <v>0</v>
      </c>
      <c r="T62" s="4">
        <f t="shared" si="3"/>
        <v>1</v>
      </c>
      <c r="U62">
        <f t="shared" si="4"/>
        <v>0</v>
      </c>
      <c r="X62" s="4"/>
    </row>
    <row r="63" spans="1:24">
      <c r="A63" s="4" t="s">
        <v>37</v>
      </c>
      <c r="B63" s="5">
        <v>45689</v>
      </c>
      <c r="C63" s="4" t="s">
        <v>24</v>
      </c>
      <c r="D63" s="4" t="s">
        <v>18</v>
      </c>
      <c r="E63" s="4">
        <v>37284.660000000003</v>
      </c>
      <c r="F63" s="4">
        <v>3928</v>
      </c>
      <c r="G63" s="4">
        <v>7.3999999999999996E-2</v>
      </c>
      <c r="H63" s="4">
        <v>12</v>
      </c>
      <c r="I63" s="4">
        <v>86.5</v>
      </c>
      <c r="J63" s="4">
        <v>1.64</v>
      </c>
      <c r="K63" s="4">
        <v>0</v>
      </c>
      <c r="L63">
        <v>3.8</v>
      </c>
      <c r="M63" s="4">
        <v>615966.48</v>
      </c>
      <c r="N63" s="4">
        <v>91509.38</v>
      </c>
      <c r="P63">
        <f t="shared" si="0"/>
        <v>1</v>
      </c>
      <c r="Q63">
        <f t="shared" si="1"/>
        <v>0</v>
      </c>
      <c r="S63">
        <f t="shared" si="2"/>
        <v>0</v>
      </c>
      <c r="T63" s="4">
        <f t="shared" si="3"/>
        <v>1</v>
      </c>
      <c r="U63">
        <f t="shared" si="4"/>
        <v>0</v>
      </c>
      <c r="X63" s="4"/>
    </row>
    <row r="64" spans="1:24">
      <c r="A64" s="4" t="s">
        <v>37</v>
      </c>
      <c r="B64" s="5">
        <v>45717</v>
      </c>
      <c r="C64" s="4" t="s">
        <v>24</v>
      </c>
      <c r="D64" s="4" t="s">
        <v>18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 s="4">
        <v>0</v>
      </c>
      <c r="L64">
        <v>3.3</v>
      </c>
      <c r="M64" s="4">
        <v>572011.19999999995</v>
      </c>
      <c r="N64" s="4">
        <v>101409.68</v>
      </c>
      <c r="P64">
        <f t="shared" si="0"/>
        <v>1</v>
      </c>
      <c r="Q64">
        <f t="shared" si="1"/>
        <v>0</v>
      </c>
      <c r="S64">
        <f t="shared" si="2"/>
        <v>0</v>
      </c>
      <c r="T64" s="4">
        <f t="shared" si="3"/>
        <v>1</v>
      </c>
      <c r="U64">
        <f t="shared" si="4"/>
        <v>0</v>
      </c>
      <c r="X64" s="4"/>
    </row>
    <row r="65" spans="1:24">
      <c r="A65" s="4" t="s">
        <v>37</v>
      </c>
      <c r="B65" s="5">
        <v>45748</v>
      </c>
      <c r="C65" s="4" t="s">
        <v>24</v>
      </c>
      <c r="D65" s="4" t="s">
        <v>18</v>
      </c>
      <c r="E65" s="4">
        <v>74954.47</v>
      </c>
      <c r="F65" s="4">
        <v>6620</v>
      </c>
      <c r="G65" s="4">
        <v>5.3999999999999999E-2</v>
      </c>
      <c r="H65" s="4">
        <v>17</v>
      </c>
      <c r="I65" s="4">
        <v>91.1</v>
      </c>
      <c r="J65" s="4">
        <v>1.1100000000000001</v>
      </c>
      <c r="K65" s="4">
        <v>0</v>
      </c>
      <c r="L65">
        <v>3.5</v>
      </c>
      <c r="M65" s="4">
        <v>761860.19</v>
      </c>
      <c r="N65" s="4">
        <v>133279.38</v>
      </c>
      <c r="P65">
        <f t="shared" si="0"/>
        <v>1</v>
      </c>
      <c r="Q65">
        <f t="shared" si="1"/>
        <v>0</v>
      </c>
      <c r="S65">
        <f t="shared" si="2"/>
        <v>0</v>
      </c>
      <c r="T65" s="4">
        <f t="shared" si="3"/>
        <v>1</v>
      </c>
      <c r="U65">
        <f t="shared" si="4"/>
        <v>0</v>
      </c>
      <c r="X65" s="4"/>
    </row>
    <row r="66" spans="1:24">
      <c r="A66" s="4" t="s">
        <v>38</v>
      </c>
      <c r="B66" s="5">
        <v>45658</v>
      </c>
      <c r="C66" s="4" t="s">
        <v>27</v>
      </c>
      <c r="D66" s="4" t="s">
        <v>18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 s="4">
        <v>1</v>
      </c>
      <c r="L66">
        <v>3.4</v>
      </c>
      <c r="M66" s="4">
        <v>784502.68</v>
      </c>
      <c r="N66" s="4">
        <v>129519.72</v>
      </c>
      <c r="P66">
        <f t="shared" ref="P66:P129" si="5">IF(D66="High Street",1,0)</f>
        <v>1</v>
      </c>
      <c r="Q66">
        <f t="shared" ref="Q66:Q129" si="6">IF(D66="Residential",1,0)</f>
        <v>0</v>
      </c>
      <c r="S66">
        <f t="shared" ref="S66:S129" si="7">IF(C66="North",1,0)</f>
        <v>0</v>
      </c>
      <c r="T66" s="4">
        <f t="shared" ref="T66:T129" si="8">IF(C66="South",1,0)</f>
        <v>0</v>
      </c>
      <c r="U66">
        <f t="shared" ref="U66:U129" si="9">IF(C66="West",1,0)</f>
        <v>1</v>
      </c>
      <c r="X66" s="4"/>
    </row>
    <row r="67" spans="1:24">
      <c r="A67" s="4" t="s">
        <v>38</v>
      </c>
      <c r="B67" s="5">
        <v>45689</v>
      </c>
      <c r="C67" s="4" t="s">
        <v>27</v>
      </c>
      <c r="D67" s="4" t="s">
        <v>18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 s="4">
        <v>0</v>
      </c>
      <c r="L67">
        <v>3.6</v>
      </c>
      <c r="M67" s="4">
        <v>717141.55</v>
      </c>
      <c r="N67" s="4">
        <v>134013.60999999999</v>
      </c>
      <c r="P67">
        <f t="shared" si="5"/>
        <v>1</v>
      </c>
      <c r="Q67">
        <f t="shared" si="6"/>
        <v>0</v>
      </c>
      <c r="S67">
        <f t="shared" si="7"/>
        <v>0</v>
      </c>
      <c r="T67" s="4">
        <f t="shared" si="8"/>
        <v>0</v>
      </c>
      <c r="U67">
        <f t="shared" si="9"/>
        <v>1</v>
      </c>
      <c r="X67" s="4"/>
    </row>
    <row r="68" spans="1:24">
      <c r="A68" s="4" t="s">
        <v>38</v>
      </c>
      <c r="B68" s="5">
        <v>45717</v>
      </c>
      <c r="C68" s="4" t="s">
        <v>27</v>
      </c>
      <c r="D68" s="4" t="s">
        <v>18</v>
      </c>
      <c r="E68" s="4">
        <v>79346.100000000006</v>
      </c>
      <c r="F68" s="4">
        <v>9628</v>
      </c>
      <c r="G68" s="4">
        <v>0.10199999999999999</v>
      </c>
      <c r="H68" s="4">
        <v>20</v>
      </c>
      <c r="I68" s="4">
        <v>99</v>
      </c>
      <c r="J68" s="4">
        <v>19.010000000000002</v>
      </c>
      <c r="K68" s="4">
        <v>1</v>
      </c>
      <c r="L68">
        <v>3.2</v>
      </c>
      <c r="M68" s="4">
        <v>685379.08</v>
      </c>
      <c r="N68" s="4">
        <v>106898.82</v>
      </c>
      <c r="P68">
        <f t="shared" si="5"/>
        <v>1</v>
      </c>
      <c r="Q68">
        <f t="shared" si="6"/>
        <v>0</v>
      </c>
      <c r="S68">
        <f t="shared" si="7"/>
        <v>0</v>
      </c>
      <c r="T68" s="4">
        <f t="shared" si="8"/>
        <v>0</v>
      </c>
      <c r="U68">
        <f t="shared" si="9"/>
        <v>1</v>
      </c>
      <c r="X68" s="4"/>
    </row>
    <row r="69" spans="1:24">
      <c r="A69" s="4" t="s">
        <v>38</v>
      </c>
      <c r="B69" s="5">
        <v>45748</v>
      </c>
      <c r="C69" s="4" t="s">
        <v>27</v>
      </c>
      <c r="D69" s="4" t="s">
        <v>18</v>
      </c>
      <c r="E69" s="4">
        <v>42018.400000000001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 s="4">
        <v>0</v>
      </c>
      <c r="L69">
        <v>3.4</v>
      </c>
      <c r="M69" s="4">
        <v>740496.65</v>
      </c>
      <c r="N69" s="4">
        <v>128020.9</v>
      </c>
      <c r="P69">
        <f t="shared" si="5"/>
        <v>1</v>
      </c>
      <c r="Q69">
        <f t="shared" si="6"/>
        <v>0</v>
      </c>
      <c r="S69">
        <f t="shared" si="7"/>
        <v>0</v>
      </c>
      <c r="T69" s="4">
        <f t="shared" si="8"/>
        <v>0</v>
      </c>
      <c r="U69">
        <f t="shared" si="9"/>
        <v>1</v>
      </c>
      <c r="X69" s="4"/>
    </row>
    <row r="70" spans="1:24">
      <c r="A70" s="4" t="s">
        <v>39</v>
      </c>
      <c r="B70" s="5">
        <v>45658</v>
      </c>
      <c r="C70" s="4" t="s">
        <v>15</v>
      </c>
      <c r="D70" s="4" t="s">
        <v>18</v>
      </c>
      <c r="E70" s="4">
        <v>70937.240000000005</v>
      </c>
      <c r="F70" s="4">
        <v>3595</v>
      </c>
      <c r="G70" s="4">
        <v>0.14099999999999999</v>
      </c>
      <c r="H70" s="4">
        <v>11</v>
      </c>
      <c r="I70" s="4">
        <v>88.9</v>
      </c>
      <c r="J70" s="4">
        <v>2.83</v>
      </c>
      <c r="K70" s="4">
        <v>1</v>
      </c>
      <c r="L70">
        <v>3.3</v>
      </c>
      <c r="M70" s="4">
        <v>661927.14</v>
      </c>
      <c r="N70" s="4">
        <v>79218.570000000007</v>
      </c>
      <c r="P70">
        <f t="shared" si="5"/>
        <v>1</v>
      </c>
      <c r="Q70">
        <f t="shared" si="6"/>
        <v>0</v>
      </c>
      <c r="S70">
        <f t="shared" si="7"/>
        <v>0</v>
      </c>
      <c r="T70" s="4">
        <f t="shared" si="8"/>
        <v>0</v>
      </c>
      <c r="U70">
        <f t="shared" si="9"/>
        <v>0</v>
      </c>
      <c r="X70" s="4"/>
    </row>
    <row r="71" spans="1:24">
      <c r="A71" s="4" t="s">
        <v>39</v>
      </c>
      <c r="B71" s="5">
        <v>45689</v>
      </c>
      <c r="C71" s="4" t="s">
        <v>15</v>
      </c>
      <c r="D71" s="4" t="s">
        <v>18</v>
      </c>
      <c r="E71" s="4">
        <v>36813.449999999997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 s="4">
        <v>0</v>
      </c>
      <c r="L71">
        <v>3.3</v>
      </c>
      <c r="M71" s="4">
        <v>479050.5</v>
      </c>
      <c r="N71" s="4">
        <v>53651.11</v>
      </c>
      <c r="P71">
        <f t="shared" si="5"/>
        <v>1</v>
      </c>
      <c r="Q71">
        <f t="shared" si="6"/>
        <v>0</v>
      </c>
      <c r="S71">
        <f t="shared" si="7"/>
        <v>0</v>
      </c>
      <c r="T71" s="4">
        <f t="shared" si="8"/>
        <v>0</v>
      </c>
      <c r="U71">
        <f t="shared" si="9"/>
        <v>0</v>
      </c>
      <c r="X71" s="4"/>
    </row>
    <row r="72" spans="1:24">
      <c r="A72" s="4" t="s">
        <v>39</v>
      </c>
      <c r="B72" s="5">
        <v>45717</v>
      </c>
      <c r="C72" s="4" t="s">
        <v>15</v>
      </c>
      <c r="D72" s="4" t="s">
        <v>18</v>
      </c>
      <c r="E72" s="4">
        <v>60571.82</v>
      </c>
      <c r="F72" s="4">
        <v>3193</v>
      </c>
      <c r="G72" s="4">
        <v>0.19700000000000001</v>
      </c>
      <c r="H72" s="4">
        <v>7</v>
      </c>
      <c r="I72" s="4">
        <v>99</v>
      </c>
      <c r="J72" s="4">
        <v>1.43</v>
      </c>
      <c r="K72" s="4">
        <v>0</v>
      </c>
      <c r="L72">
        <v>3.2</v>
      </c>
      <c r="M72" s="4">
        <v>605023.87</v>
      </c>
      <c r="N72" s="4">
        <v>98545.81</v>
      </c>
      <c r="P72">
        <f t="shared" si="5"/>
        <v>1</v>
      </c>
      <c r="Q72">
        <f t="shared" si="6"/>
        <v>0</v>
      </c>
      <c r="S72">
        <f t="shared" si="7"/>
        <v>0</v>
      </c>
      <c r="T72" s="4">
        <f t="shared" si="8"/>
        <v>0</v>
      </c>
      <c r="U72">
        <f t="shared" si="9"/>
        <v>0</v>
      </c>
      <c r="X72" s="4"/>
    </row>
    <row r="73" spans="1:24">
      <c r="A73" s="4" t="s">
        <v>39</v>
      </c>
      <c r="B73" s="5">
        <v>45748</v>
      </c>
      <c r="C73" s="4" t="s">
        <v>15</v>
      </c>
      <c r="D73" s="4" t="s">
        <v>18</v>
      </c>
      <c r="E73" s="4">
        <v>55081.16</v>
      </c>
      <c r="F73" s="4">
        <v>5485</v>
      </c>
      <c r="G73" s="4">
        <v>3.5999999999999997E-2</v>
      </c>
      <c r="H73" s="4">
        <v>12</v>
      </c>
      <c r="I73" s="4">
        <v>88</v>
      </c>
      <c r="J73" s="4">
        <v>4.5590445859872624</v>
      </c>
      <c r="K73" s="4">
        <v>0</v>
      </c>
      <c r="L73">
        <v>3.5</v>
      </c>
      <c r="M73" s="4">
        <v>674774.09</v>
      </c>
      <c r="N73" s="4">
        <v>141917.59</v>
      </c>
      <c r="P73">
        <f t="shared" si="5"/>
        <v>1</v>
      </c>
      <c r="Q73">
        <f t="shared" si="6"/>
        <v>0</v>
      </c>
      <c r="S73">
        <f t="shared" si="7"/>
        <v>0</v>
      </c>
      <c r="T73" s="4">
        <f t="shared" si="8"/>
        <v>0</v>
      </c>
      <c r="U73">
        <f t="shared" si="9"/>
        <v>0</v>
      </c>
      <c r="X73" s="4"/>
    </row>
    <row r="74" spans="1:24">
      <c r="A74" s="4" t="s">
        <v>40</v>
      </c>
      <c r="B74" s="5">
        <v>45658</v>
      </c>
      <c r="C74" s="4" t="s">
        <v>15</v>
      </c>
      <c r="D74" s="4" t="s">
        <v>16</v>
      </c>
      <c r="E74" s="4">
        <v>46201.46</v>
      </c>
      <c r="F74" s="4">
        <v>5918</v>
      </c>
      <c r="G74" s="4">
        <v>0.27700000000000002</v>
      </c>
      <c r="H74" s="4">
        <v>13</v>
      </c>
      <c r="I74" s="4">
        <v>78.8</v>
      </c>
      <c r="J74" s="4">
        <v>4.91</v>
      </c>
      <c r="K74" s="4">
        <v>0</v>
      </c>
      <c r="L74">
        <v>4.5</v>
      </c>
      <c r="M74" s="4">
        <v>616069.41</v>
      </c>
      <c r="N74" s="4">
        <v>54453.99</v>
      </c>
      <c r="P74">
        <f t="shared" si="5"/>
        <v>0</v>
      </c>
      <c r="Q74">
        <f t="shared" si="6"/>
        <v>1</v>
      </c>
      <c r="S74">
        <f t="shared" si="7"/>
        <v>0</v>
      </c>
      <c r="T74" s="4">
        <f t="shared" si="8"/>
        <v>0</v>
      </c>
      <c r="U74">
        <f t="shared" si="9"/>
        <v>0</v>
      </c>
      <c r="X74" s="4"/>
    </row>
    <row r="75" spans="1:24">
      <c r="A75" s="4" t="s">
        <v>40</v>
      </c>
      <c r="B75" s="5">
        <v>45689</v>
      </c>
      <c r="C75" s="4" t="s">
        <v>15</v>
      </c>
      <c r="D75" s="4" t="s">
        <v>16</v>
      </c>
      <c r="E75" s="4">
        <v>53762.92</v>
      </c>
      <c r="F75" s="4">
        <v>6821</v>
      </c>
      <c r="G75" s="4">
        <v>6.6000000000000003E-2</v>
      </c>
      <c r="H75" s="4">
        <v>19</v>
      </c>
      <c r="I75" s="4">
        <v>94.6</v>
      </c>
      <c r="J75" s="4">
        <v>7.03</v>
      </c>
      <c r="K75" s="4">
        <v>0</v>
      </c>
      <c r="L75">
        <v>4.4000000000000004</v>
      </c>
      <c r="M75" s="4">
        <v>630829.93999999994</v>
      </c>
      <c r="N75" s="4">
        <v>117090.02</v>
      </c>
      <c r="P75">
        <f t="shared" si="5"/>
        <v>0</v>
      </c>
      <c r="Q75">
        <f t="shared" si="6"/>
        <v>1</v>
      </c>
      <c r="S75">
        <f t="shared" si="7"/>
        <v>0</v>
      </c>
      <c r="T75" s="4">
        <f t="shared" si="8"/>
        <v>0</v>
      </c>
      <c r="U75">
        <f t="shared" si="9"/>
        <v>0</v>
      </c>
      <c r="X75" s="4"/>
    </row>
    <row r="76" spans="1:24">
      <c r="A76" s="4" t="s">
        <v>40</v>
      </c>
      <c r="B76" s="5">
        <v>45717</v>
      </c>
      <c r="C76" s="4" t="s">
        <v>15</v>
      </c>
      <c r="D76" s="4" t="s">
        <v>16</v>
      </c>
      <c r="E76" s="4">
        <v>70144.78</v>
      </c>
      <c r="F76" s="4">
        <v>6806</v>
      </c>
      <c r="G76" s="4">
        <v>0.17799999999999999</v>
      </c>
      <c r="H76" s="4">
        <v>20</v>
      </c>
      <c r="I76" s="4">
        <v>93.1</v>
      </c>
      <c r="J76" s="4">
        <v>0.28000000000000003</v>
      </c>
      <c r="K76" s="4">
        <v>1</v>
      </c>
      <c r="L76">
        <v>4.3</v>
      </c>
      <c r="M76" s="4">
        <v>788087.68</v>
      </c>
      <c r="N76" s="4">
        <v>116803.42</v>
      </c>
      <c r="P76">
        <f t="shared" si="5"/>
        <v>0</v>
      </c>
      <c r="Q76">
        <f t="shared" si="6"/>
        <v>1</v>
      </c>
      <c r="S76">
        <f t="shared" si="7"/>
        <v>0</v>
      </c>
      <c r="T76" s="4">
        <f t="shared" si="8"/>
        <v>0</v>
      </c>
      <c r="U76">
        <f t="shared" si="9"/>
        <v>0</v>
      </c>
      <c r="X76" s="4"/>
    </row>
    <row r="77" spans="1:24">
      <c r="A77" s="4" t="s">
        <v>40</v>
      </c>
      <c r="B77" s="5">
        <v>45748</v>
      </c>
      <c r="C77" s="4" t="s">
        <v>15</v>
      </c>
      <c r="D77" s="4" t="s">
        <v>16</v>
      </c>
      <c r="E77" s="4">
        <v>58749.63</v>
      </c>
      <c r="F77" s="4">
        <v>8252</v>
      </c>
      <c r="G77" s="4">
        <v>0.20300000000000001</v>
      </c>
      <c r="H77" s="4">
        <v>20</v>
      </c>
      <c r="I77" s="4">
        <v>85.2</v>
      </c>
      <c r="J77" s="4">
        <v>3.61</v>
      </c>
      <c r="K77" s="4">
        <v>0</v>
      </c>
      <c r="L77">
        <v>4.5</v>
      </c>
      <c r="M77" s="4">
        <v>680840.36</v>
      </c>
      <c r="N77" s="4">
        <v>68007.679999999993</v>
      </c>
      <c r="P77">
        <f t="shared" si="5"/>
        <v>0</v>
      </c>
      <c r="Q77">
        <f t="shared" si="6"/>
        <v>1</v>
      </c>
      <c r="S77">
        <f t="shared" si="7"/>
        <v>0</v>
      </c>
      <c r="T77" s="4">
        <f t="shared" si="8"/>
        <v>0</v>
      </c>
      <c r="U77">
        <f t="shared" si="9"/>
        <v>0</v>
      </c>
      <c r="X77" s="4"/>
    </row>
    <row r="78" spans="1:24">
      <c r="A78" s="4" t="s">
        <v>41</v>
      </c>
      <c r="B78" s="5">
        <v>45658</v>
      </c>
      <c r="C78" s="4" t="s">
        <v>24</v>
      </c>
      <c r="D78" s="4" t="s">
        <v>18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 s="4">
        <v>1</v>
      </c>
      <c r="L78">
        <v>3.2</v>
      </c>
      <c r="M78" s="4">
        <v>643657.47</v>
      </c>
      <c r="N78" s="4">
        <v>87022.45</v>
      </c>
      <c r="P78">
        <f t="shared" si="5"/>
        <v>1</v>
      </c>
      <c r="Q78">
        <f t="shared" si="6"/>
        <v>0</v>
      </c>
      <c r="S78">
        <f t="shared" si="7"/>
        <v>0</v>
      </c>
      <c r="T78" s="4">
        <f t="shared" si="8"/>
        <v>1</v>
      </c>
      <c r="U78">
        <f t="shared" si="9"/>
        <v>0</v>
      </c>
      <c r="X78" s="4"/>
    </row>
    <row r="79" spans="1:24">
      <c r="A79" s="4" t="s">
        <v>41</v>
      </c>
      <c r="B79" s="5">
        <v>45689</v>
      </c>
      <c r="C79" s="4" t="s">
        <v>24</v>
      </c>
      <c r="D79" s="4" t="s">
        <v>18</v>
      </c>
      <c r="E79" s="4">
        <v>54872.82</v>
      </c>
      <c r="F79" s="4">
        <v>5962</v>
      </c>
      <c r="G79" s="4">
        <v>6.4000000000000001E-2</v>
      </c>
      <c r="H79" s="4">
        <v>12</v>
      </c>
      <c r="I79" s="4">
        <v>85.4</v>
      </c>
      <c r="J79" s="4">
        <v>2.58</v>
      </c>
      <c r="K79" s="4">
        <v>0</v>
      </c>
      <c r="L79">
        <v>2.9</v>
      </c>
      <c r="M79" s="4">
        <v>691112.6</v>
      </c>
      <c r="N79" s="4">
        <v>109212.83</v>
      </c>
      <c r="P79">
        <f t="shared" si="5"/>
        <v>1</v>
      </c>
      <c r="Q79">
        <f t="shared" si="6"/>
        <v>0</v>
      </c>
      <c r="S79">
        <f t="shared" si="7"/>
        <v>0</v>
      </c>
      <c r="T79" s="4">
        <f t="shared" si="8"/>
        <v>1</v>
      </c>
      <c r="U79">
        <f t="shared" si="9"/>
        <v>0</v>
      </c>
      <c r="X79" s="4"/>
    </row>
    <row r="80" spans="1:24">
      <c r="A80" s="4" t="s">
        <v>41</v>
      </c>
      <c r="B80" s="5">
        <v>45717</v>
      </c>
      <c r="C80" s="4" t="s">
        <v>24</v>
      </c>
      <c r="D80" s="4" t="s">
        <v>18</v>
      </c>
      <c r="E80" s="4">
        <v>80562.81</v>
      </c>
      <c r="F80" s="4">
        <v>7470</v>
      </c>
      <c r="G80" s="4">
        <v>0.17199999999999999</v>
      </c>
      <c r="H80" s="4">
        <v>16</v>
      </c>
      <c r="I80" s="4">
        <v>83.5</v>
      </c>
      <c r="J80" s="4">
        <v>2.29</v>
      </c>
      <c r="K80" s="4">
        <v>0</v>
      </c>
      <c r="L80">
        <v>3.3</v>
      </c>
      <c r="M80" s="4">
        <v>776922.17</v>
      </c>
      <c r="N80" s="4">
        <v>150701.93</v>
      </c>
      <c r="P80">
        <f t="shared" si="5"/>
        <v>1</v>
      </c>
      <c r="Q80">
        <f t="shared" si="6"/>
        <v>0</v>
      </c>
      <c r="S80">
        <f t="shared" si="7"/>
        <v>0</v>
      </c>
      <c r="T80" s="4">
        <f t="shared" si="8"/>
        <v>1</v>
      </c>
      <c r="U80">
        <f t="shared" si="9"/>
        <v>0</v>
      </c>
      <c r="X80" s="4"/>
    </row>
    <row r="81" spans="1:24">
      <c r="A81" s="4" t="s">
        <v>41</v>
      </c>
      <c r="B81" s="5">
        <v>45748</v>
      </c>
      <c r="C81" s="4" t="s">
        <v>24</v>
      </c>
      <c r="D81" s="4" t="s">
        <v>18</v>
      </c>
      <c r="E81" s="4">
        <v>77999.899999999994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 s="4">
        <v>0</v>
      </c>
      <c r="L81">
        <v>3.2</v>
      </c>
      <c r="M81" s="4">
        <v>636561.34</v>
      </c>
      <c r="N81" s="4">
        <v>93861.06</v>
      </c>
      <c r="P81">
        <f t="shared" si="5"/>
        <v>1</v>
      </c>
      <c r="Q81">
        <f t="shared" si="6"/>
        <v>0</v>
      </c>
      <c r="S81">
        <f t="shared" si="7"/>
        <v>0</v>
      </c>
      <c r="T81" s="4">
        <f t="shared" si="8"/>
        <v>1</v>
      </c>
      <c r="U81">
        <f t="shared" si="9"/>
        <v>0</v>
      </c>
      <c r="X81" s="4"/>
    </row>
    <row r="82" spans="1:24">
      <c r="A82" s="4" t="s">
        <v>42</v>
      </c>
      <c r="B82" s="5">
        <v>45658</v>
      </c>
      <c r="C82" s="4" t="s">
        <v>27</v>
      </c>
      <c r="D82" s="4" t="s">
        <v>28</v>
      </c>
      <c r="E82" s="4">
        <v>60881.01</v>
      </c>
      <c r="F82" s="4">
        <v>5410</v>
      </c>
      <c r="G82" s="4">
        <v>0.17899999999999999</v>
      </c>
      <c r="H82" s="4">
        <v>15</v>
      </c>
      <c r="I82" s="4">
        <v>83.9</v>
      </c>
      <c r="J82" s="4">
        <v>5.24</v>
      </c>
      <c r="K82" s="4">
        <v>0</v>
      </c>
      <c r="L82">
        <v>4.5999999999999996</v>
      </c>
      <c r="M82" s="4">
        <v>621369.57999999996</v>
      </c>
      <c r="N82" s="4">
        <v>85493.64</v>
      </c>
      <c r="P82">
        <f t="shared" si="5"/>
        <v>0</v>
      </c>
      <c r="Q82">
        <f t="shared" si="6"/>
        <v>0</v>
      </c>
      <c r="S82">
        <f t="shared" si="7"/>
        <v>0</v>
      </c>
      <c r="T82" s="4">
        <f t="shared" si="8"/>
        <v>0</v>
      </c>
      <c r="U82">
        <f t="shared" si="9"/>
        <v>1</v>
      </c>
      <c r="X82" s="4"/>
    </row>
    <row r="83" spans="1:24">
      <c r="A83" s="4" t="s">
        <v>42</v>
      </c>
      <c r="B83" s="5">
        <v>45689</v>
      </c>
      <c r="C83" s="4" t="s">
        <v>27</v>
      </c>
      <c r="D83" s="4" t="s">
        <v>28</v>
      </c>
      <c r="E83" s="4">
        <v>60628.38</v>
      </c>
      <c r="F83" s="4">
        <v>4451</v>
      </c>
      <c r="G83" s="4">
        <v>9.5000000000000001E-2</v>
      </c>
      <c r="H83" s="4">
        <v>10</v>
      </c>
      <c r="I83" s="4">
        <v>89.6</v>
      </c>
      <c r="J83" s="4">
        <v>3.17</v>
      </c>
      <c r="K83" s="4">
        <v>0</v>
      </c>
      <c r="L83">
        <v>4.5999999999999996</v>
      </c>
      <c r="M83" s="4">
        <v>682208.01</v>
      </c>
      <c r="N83" s="4">
        <v>110318.84</v>
      </c>
      <c r="P83">
        <f t="shared" si="5"/>
        <v>0</v>
      </c>
      <c r="Q83">
        <f t="shared" si="6"/>
        <v>0</v>
      </c>
      <c r="S83">
        <f t="shared" si="7"/>
        <v>0</v>
      </c>
      <c r="T83" s="4">
        <f t="shared" si="8"/>
        <v>0</v>
      </c>
      <c r="U83">
        <f t="shared" si="9"/>
        <v>1</v>
      </c>
      <c r="X83" s="4"/>
    </row>
    <row r="84" spans="1:24">
      <c r="A84" s="4" t="s">
        <v>42</v>
      </c>
      <c r="B84" s="5">
        <v>45717</v>
      </c>
      <c r="C84" s="4" t="s">
        <v>27</v>
      </c>
      <c r="D84" s="4" t="s">
        <v>28</v>
      </c>
      <c r="E84" s="4">
        <v>72731.14</v>
      </c>
      <c r="F84" s="4">
        <v>4644</v>
      </c>
      <c r="G84" s="4">
        <v>8.4000000000000005E-2</v>
      </c>
      <c r="H84" s="4">
        <v>15</v>
      </c>
      <c r="I84" s="4">
        <v>87.1</v>
      </c>
      <c r="J84" s="4">
        <v>2.66</v>
      </c>
      <c r="K84" s="4">
        <v>0</v>
      </c>
      <c r="L84">
        <v>4.5999999999999996</v>
      </c>
      <c r="M84" s="4">
        <v>727241.86</v>
      </c>
      <c r="N84" s="4">
        <v>155810.29999999999</v>
      </c>
      <c r="P84">
        <f t="shared" si="5"/>
        <v>0</v>
      </c>
      <c r="Q84">
        <f t="shared" si="6"/>
        <v>0</v>
      </c>
      <c r="S84">
        <f t="shared" si="7"/>
        <v>0</v>
      </c>
      <c r="T84" s="4">
        <f t="shared" si="8"/>
        <v>0</v>
      </c>
      <c r="U84">
        <f t="shared" si="9"/>
        <v>1</v>
      </c>
      <c r="X84" s="4"/>
    </row>
    <row r="85" spans="1:24">
      <c r="A85" s="4" t="s">
        <v>42</v>
      </c>
      <c r="B85" s="5">
        <v>45748</v>
      </c>
      <c r="C85" s="4" t="s">
        <v>27</v>
      </c>
      <c r="D85" s="4" t="s">
        <v>28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 s="4">
        <v>0</v>
      </c>
      <c r="L85">
        <v>4.2</v>
      </c>
      <c r="M85" s="4">
        <v>569100.78</v>
      </c>
      <c r="N85" s="4">
        <v>104808.78</v>
      </c>
      <c r="P85">
        <f t="shared" si="5"/>
        <v>0</v>
      </c>
      <c r="Q85">
        <f t="shared" si="6"/>
        <v>0</v>
      </c>
      <c r="S85">
        <f t="shared" si="7"/>
        <v>0</v>
      </c>
      <c r="T85" s="4">
        <f t="shared" si="8"/>
        <v>0</v>
      </c>
      <c r="U85">
        <f t="shared" si="9"/>
        <v>1</v>
      </c>
      <c r="X85" s="4"/>
    </row>
    <row r="86" spans="1:24">
      <c r="A86" s="4" t="s">
        <v>43</v>
      </c>
      <c r="B86" s="5">
        <v>45658</v>
      </c>
      <c r="C86" s="4" t="s">
        <v>27</v>
      </c>
      <c r="D86" s="4" t="s">
        <v>18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 s="4">
        <v>0</v>
      </c>
      <c r="L86">
        <v>4.9000000000000004</v>
      </c>
      <c r="M86" s="4">
        <v>574436.29</v>
      </c>
      <c r="N86" s="4">
        <v>80271.990000000005</v>
      </c>
      <c r="P86">
        <f t="shared" si="5"/>
        <v>1</v>
      </c>
      <c r="Q86">
        <f t="shared" si="6"/>
        <v>0</v>
      </c>
      <c r="S86">
        <f t="shared" si="7"/>
        <v>0</v>
      </c>
      <c r="T86" s="4">
        <f t="shared" si="8"/>
        <v>0</v>
      </c>
      <c r="U86">
        <f t="shared" si="9"/>
        <v>1</v>
      </c>
      <c r="X86" s="4"/>
    </row>
    <row r="87" spans="1:24">
      <c r="A87" s="4" t="s">
        <v>43</v>
      </c>
      <c r="B87" s="5">
        <v>45689</v>
      </c>
      <c r="C87" s="4" t="s">
        <v>27</v>
      </c>
      <c r="D87" s="4" t="s">
        <v>18</v>
      </c>
      <c r="E87" s="4">
        <v>88443.77</v>
      </c>
      <c r="F87" s="4">
        <v>4004</v>
      </c>
      <c r="G87" s="4">
        <v>0.20599999999999999</v>
      </c>
      <c r="H87" s="4">
        <v>11</v>
      </c>
      <c r="I87" s="4">
        <v>91.9</v>
      </c>
      <c r="J87" s="4">
        <v>5.95</v>
      </c>
      <c r="K87" s="4">
        <v>0</v>
      </c>
      <c r="L87">
        <v>3.9246794871794881</v>
      </c>
      <c r="M87" s="4">
        <v>611766.72</v>
      </c>
      <c r="N87" s="4">
        <v>88275.61</v>
      </c>
      <c r="P87">
        <f t="shared" si="5"/>
        <v>1</v>
      </c>
      <c r="Q87">
        <f t="shared" si="6"/>
        <v>0</v>
      </c>
      <c r="S87">
        <f t="shared" si="7"/>
        <v>0</v>
      </c>
      <c r="T87" s="4">
        <f t="shared" si="8"/>
        <v>0</v>
      </c>
      <c r="U87">
        <f t="shared" si="9"/>
        <v>1</v>
      </c>
      <c r="X87" s="4"/>
    </row>
    <row r="88" spans="1:24">
      <c r="A88" s="4" t="s">
        <v>43</v>
      </c>
      <c r="B88" s="5">
        <v>45717</v>
      </c>
      <c r="C88" s="4" t="s">
        <v>27</v>
      </c>
      <c r="D88" s="4" t="s">
        <v>18</v>
      </c>
      <c r="E88" s="4">
        <v>78231.91</v>
      </c>
      <c r="F88" s="4">
        <v>3788</v>
      </c>
      <c r="G88" s="4">
        <v>5.8999999999999997E-2</v>
      </c>
      <c r="H88" s="4">
        <v>11</v>
      </c>
      <c r="I88" s="4">
        <v>88.5</v>
      </c>
      <c r="J88" s="4">
        <v>15.51</v>
      </c>
      <c r="K88" s="4">
        <v>0</v>
      </c>
      <c r="L88">
        <v>4.3</v>
      </c>
      <c r="M88" s="4">
        <v>614596.31999999995</v>
      </c>
      <c r="N88" s="4">
        <v>131199.41</v>
      </c>
      <c r="P88">
        <f t="shared" si="5"/>
        <v>1</v>
      </c>
      <c r="Q88">
        <f t="shared" si="6"/>
        <v>0</v>
      </c>
      <c r="S88">
        <f t="shared" si="7"/>
        <v>0</v>
      </c>
      <c r="T88" s="4">
        <f t="shared" si="8"/>
        <v>0</v>
      </c>
      <c r="U88">
        <f t="shared" si="9"/>
        <v>1</v>
      </c>
      <c r="X88" s="4"/>
    </row>
    <row r="89" spans="1:24">
      <c r="A89" s="4" t="s">
        <v>43</v>
      </c>
      <c r="B89" s="5">
        <v>45748</v>
      </c>
      <c r="C89" s="4" t="s">
        <v>27</v>
      </c>
      <c r="D89" s="4" t="s">
        <v>18</v>
      </c>
      <c r="E89" s="4">
        <v>18996.32</v>
      </c>
      <c r="F89" s="4">
        <v>1260</v>
      </c>
      <c r="G89" s="4">
        <v>0.14499999999999999</v>
      </c>
      <c r="H89" s="4">
        <v>9</v>
      </c>
      <c r="I89" s="4">
        <v>86.4</v>
      </c>
      <c r="J89" s="4">
        <v>4.3099999999999996</v>
      </c>
      <c r="K89" s="4">
        <v>0</v>
      </c>
      <c r="L89">
        <v>4.5999999999999996</v>
      </c>
      <c r="M89" s="4">
        <v>450711.92</v>
      </c>
      <c r="N89" s="4">
        <v>90043.76</v>
      </c>
      <c r="P89">
        <f t="shared" si="5"/>
        <v>1</v>
      </c>
      <c r="Q89">
        <f t="shared" si="6"/>
        <v>0</v>
      </c>
      <c r="S89">
        <f t="shared" si="7"/>
        <v>0</v>
      </c>
      <c r="T89" s="4">
        <f t="shared" si="8"/>
        <v>0</v>
      </c>
      <c r="U89">
        <f t="shared" si="9"/>
        <v>1</v>
      </c>
      <c r="X89" s="4"/>
    </row>
    <row r="90" spans="1:24">
      <c r="A90" s="4" t="s">
        <v>44</v>
      </c>
      <c r="B90" s="5">
        <v>45658</v>
      </c>
      <c r="C90" s="4" t="s">
        <v>24</v>
      </c>
      <c r="D90" s="4" t="s">
        <v>28</v>
      </c>
      <c r="E90" s="4">
        <v>50517.94</v>
      </c>
      <c r="F90" s="4">
        <v>7024</v>
      </c>
      <c r="G90" s="4">
        <v>2.9000000000000001E-2</v>
      </c>
      <c r="H90" s="4">
        <v>18</v>
      </c>
      <c r="I90" s="4">
        <v>79.2</v>
      </c>
      <c r="J90" s="4">
        <v>6.61</v>
      </c>
      <c r="K90" s="4">
        <v>1</v>
      </c>
      <c r="L90">
        <v>4.0999999999999996</v>
      </c>
      <c r="M90" s="4">
        <v>711213.46</v>
      </c>
      <c r="N90" s="4">
        <v>105863.26</v>
      </c>
      <c r="P90">
        <f t="shared" si="5"/>
        <v>0</v>
      </c>
      <c r="Q90">
        <f t="shared" si="6"/>
        <v>0</v>
      </c>
      <c r="S90">
        <f t="shared" si="7"/>
        <v>0</v>
      </c>
      <c r="T90" s="4">
        <f t="shared" si="8"/>
        <v>1</v>
      </c>
      <c r="U90">
        <f t="shared" si="9"/>
        <v>0</v>
      </c>
      <c r="X90" s="4"/>
    </row>
    <row r="91" spans="1:24">
      <c r="A91" s="4" t="s">
        <v>44</v>
      </c>
      <c r="B91" s="5">
        <v>45689</v>
      </c>
      <c r="C91" s="4" t="s">
        <v>24</v>
      </c>
      <c r="D91" s="4" t="s">
        <v>28</v>
      </c>
      <c r="E91" s="4">
        <v>141540.29</v>
      </c>
      <c r="F91" s="4">
        <v>5400</v>
      </c>
      <c r="G91" s="4">
        <v>1.2999999999999999E-2</v>
      </c>
      <c r="H91" s="4">
        <v>12</v>
      </c>
      <c r="I91" s="4">
        <v>87</v>
      </c>
      <c r="J91" s="4">
        <v>4.26</v>
      </c>
      <c r="K91" s="4">
        <v>0</v>
      </c>
      <c r="L91">
        <v>4.5</v>
      </c>
      <c r="M91" s="4">
        <v>627171.9</v>
      </c>
      <c r="N91" s="4">
        <v>105772.75</v>
      </c>
      <c r="P91">
        <f t="shared" si="5"/>
        <v>0</v>
      </c>
      <c r="Q91">
        <f t="shared" si="6"/>
        <v>0</v>
      </c>
      <c r="S91">
        <f t="shared" si="7"/>
        <v>0</v>
      </c>
      <c r="T91" s="4">
        <f t="shared" si="8"/>
        <v>1</v>
      </c>
      <c r="U91">
        <f t="shared" si="9"/>
        <v>0</v>
      </c>
      <c r="X91" s="4"/>
    </row>
    <row r="92" spans="1:24">
      <c r="A92" s="4" t="s">
        <v>44</v>
      </c>
      <c r="B92" s="5">
        <v>45717</v>
      </c>
      <c r="C92" s="4" t="s">
        <v>24</v>
      </c>
      <c r="D92" s="4" t="s">
        <v>28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 s="4">
        <v>0</v>
      </c>
      <c r="L92">
        <v>4.7</v>
      </c>
      <c r="M92" s="4">
        <v>739852.58</v>
      </c>
      <c r="N92" s="4">
        <v>129386.43</v>
      </c>
      <c r="P92">
        <f t="shared" si="5"/>
        <v>0</v>
      </c>
      <c r="Q92">
        <f t="shared" si="6"/>
        <v>0</v>
      </c>
      <c r="S92">
        <f t="shared" si="7"/>
        <v>0</v>
      </c>
      <c r="T92" s="4">
        <f t="shared" si="8"/>
        <v>1</v>
      </c>
      <c r="U92">
        <f t="shared" si="9"/>
        <v>0</v>
      </c>
      <c r="X92" s="4"/>
    </row>
    <row r="93" spans="1:24">
      <c r="A93" s="4" t="s">
        <v>44</v>
      </c>
      <c r="B93" s="5">
        <v>45748</v>
      </c>
      <c r="C93" s="4" t="s">
        <v>24</v>
      </c>
      <c r="D93" s="4" t="s">
        <v>28</v>
      </c>
      <c r="E93" s="4">
        <v>31207.51</v>
      </c>
      <c r="F93" s="4">
        <v>3701</v>
      </c>
      <c r="G93" s="4">
        <v>4.2999999999999997E-2</v>
      </c>
      <c r="H93" s="4">
        <v>11</v>
      </c>
      <c r="I93" s="4">
        <v>84.7</v>
      </c>
      <c r="J93" s="4">
        <v>0.33</v>
      </c>
      <c r="K93" s="4">
        <v>0</v>
      </c>
      <c r="L93">
        <v>4.3</v>
      </c>
      <c r="M93" s="4">
        <v>586307.22</v>
      </c>
      <c r="N93" s="4">
        <v>73927.850000000006</v>
      </c>
      <c r="P93">
        <f t="shared" si="5"/>
        <v>0</v>
      </c>
      <c r="Q93">
        <f t="shared" si="6"/>
        <v>0</v>
      </c>
      <c r="S93">
        <f t="shared" si="7"/>
        <v>0</v>
      </c>
      <c r="T93" s="4">
        <f t="shared" si="8"/>
        <v>1</v>
      </c>
      <c r="U93">
        <f t="shared" si="9"/>
        <v>0</v>
      </c>
      <c r="X93" s="4"/>
    </row>
    <row r="94" spans="1:24">
      <c r="A94" s="4" t="s">
        <v>45</v>
      </c>
      <c r="B94" s="5">
        <v>45658</v>
      </c>
      <c r="C94" s="4" t="s">
        <v>27</v>
      </c>
      <c r="D94" s="4" t="s">
        <v>16</v>
      </c>
      <c r="E94" s="4">
        <v>38966.589999999997</v>
      </c>
      <c r="F94" s="4">
        <v>4509</v>
      </c>
      <c r="G94" s="4">
        <v>0.19400000000000001</v>
      </c>
      <c r="H94" s="4">
        <v>14</v>
      </c>
      <c r="I94" s="4">
        <v>91.1</v>
      </c>
      <c r="J94" s="4">
        <v>2.92</v>
      </c>
      <c r="K94" s="4">
        <v>0</v>
      </c>
      <c r="L94">
        <v>4.5999999999999996</v>
      </c>
      <c r="M94" s="4">
        <v>585937.48</v>
      </c>
      <c r="N94" s="4">
        <v>82624.2</v>
      </c>
      <c r="P94">
        <f t="shared" si="5"/>
        <v>0</v>
      </c>
      <c r="Q94">
        <f t="shared" si="6"/>
        <v>1</v>
      </c>
      <c r="S94">
        <f t="shared" si="7"/>
        <v>0</v>
      </c>
      <c r="T94" s="4">
        <f t="shared" si="8"/>
        <v>0</v>
      </c>
      <c r="U94">
        <f t="shared" si="9"/>
        <v>1</v>
      </c>
      <c r="X94" s="4"/>
    </row>
    <row r="95" spans="1:24">
      <c r="A95" s="4" t="s">
        <v>45</v>
      </c>
      <c r="B95" s="5">
        <v>45689</v>
      </c>
      <c r="C95" s="4" t="s">
        <v>27</v>
      </c>
      <c r="D95" s="4" t="s">
        <v>16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 s="4">
        <v>0</v>
      </c>
      <c r="L95">
        <v>4.5</v>
      </c>
      <c r="M95" s="4">
        <v>753473.55</v>
      </c>
      <c r="N95" s="4">
        <v>151527.22</v>
      </c>
      <c r="P95">
        <f t="shared" si="5"/>
        <v>0</v>
      </c>
      <c r="Q95">
        <f t="shared" si="6"/>
        <v>1</v>
      </c>
      <c r="S95">
        <f t="shared" si="7"/>
        <v>0</v>
      </c>
      <c r="T95" s="4">
        <f t="shared" si="8"/>
        <v>0</v>
      </c>
      <c r="U95">
        <f t="shared" si="9"/>
        <v>1</v>
      </c>
      <c r="X95" s="4"/>
    </row>
    <row r="96" spans="1:24">
      <c r="A96" s="4" t="s">
        <v>45</v>
      </c>
      <c r="B96" s="5">
        <v>45717</v>
      </c>
      <c r="C96" s="4" t="s">
        <v>27</v>
      </c>
      <c r="D96" s="4" t="s">
        <v>16</v>
      </c>
      <c r="E96" s="4">
        <v>86421.88</v>
      </c>
      <c r="F96" s="4">
        <v>7970</v>
      </c>
      <c r="G96" s="4">
        <v>7.2999999999999995E-2</v>
      </c>
      <c r="H96" s="4">
        <v>17</v>
      </c>
      <c r="I96" s="4">
        <v>91.3</v>
      </c>
      <c r="J96" s="4">
        <v>0.8</v>
      </c>
      <c r="K96" s="4">
        <v>0</v>
      </c>
      <c r="L96">
        <v>5</v>
      </c>
      <c r="M96" s="4">
        <v>838250.32</v>
      </c>
      <c r="N96" s="4">
        <v>122939.34</v>
      </c>
      <c r="P96">
        <f t="shared" si="5"/>
        <v>0</v>
      </c>
      <c r="Q96">
        <f t="shared" si="6"/>
        <v>1</v>
      </c>
      <c r="S96">
        <f t="shared" si="7"/>
        <v>0</v>
      </c>
      <c r="T96" s="4">
        <f t="shared" si="8"/>
        <v>0</v>
      </c>
      <c r="U96">
        <f t="shared" si="9"/>
        <v>1</v>
      </c>
      <c r="X96" s="4"/>
    </row>
    <row r="97" spans="1:24">
      <c r="A97" s="4" t="s">
        <v>45</v>
      </c>
      <c r="B97" s="5">
        <v>45748</v>
      </c>
      <c r="C97" s="4" t="s">
        <v>27</v>
      </c>
      <c r="D97" s="4" t="s">
        <v>16</v>
      </c>
      <c r="E97" s="4">
        <v>9534.65</v>
      </c>
      <c r="F97" s="4">
        <v>6057</v>
      </c>
      <c r="G97" s="4">
        <v>7.3999999999999996E-2</v>
      </c>
      <c r="H97" s="4">
        <v>15</v>
      </c>
      <c r="I97" s="4">
        <v>94.1</v>
      </c>
      <c r="J97" s="4">
        <v>5.79</v>
      </c>
      <c r="K97" s="4">
        <v>0</v>
      </c>
      <c r="L97">
        <v>4.5</v>
      </c>
      <c r="M97" s="4">
        <v>607898.12</v>
      </c>
      <c r="N97" s="4">
        <v>135404.85</v>
      </c>
      <c r="P97">
        <f t="shared" si="5"/>
        <v>0</v>
      </c>
      <c r="Q97">
        <f t="shared" si="6"/>
        <v>1</v>
      </c>
      <c r="S97">
        <f t="shared" si="7"/>
        <v>0</v>
      </c>
      <c r="T97" s="4">
        <f t="shared" si="8"/>
        <v>0</v>
      </c>
      <c r="U97">
        <f t="shared" si="9"/>
        <v>1</v>
      </c>
      <c r="X97" s="4"/>
    </row>
    <row r="98" spans="1:24">
      <c r="A98" s="4" t="s">
        <v>46</v>
      </c>
      <c r="B98" s="5">
        <v>45658</v>
      </c>
      <c r="C98" s="4" t="s">
        <v>27</v>
      </c>
      <c r="D98" s="4" t="s">
        <v>28</v>
      </c>
      <c r="E98" s="4">
        <v>61132.07</v>
      </c>
      <c r="F98" s="4">
        <v>6394</v>
      </c>
      <c r="G98" s="4">
        <v>0.16300000000000001</v>
      </c>
      <c r="H98" s="4">
        <v>19</v>
      </c>
      <c r="I98" s="4">
        <v>91</v>
      </c>
      <c r="J98" s="4">
        <v>19.600000000000001</v>
      </c>
      <c r="K98" s="4">
        <v>0</v>
      </c>
      <c r="L98">
        <v>4.4000000000000004</v>
      </c>
      <c r="M98" s="4">
        <v>691113.62</v>
      </c>
      <c r="N98" s="4">
        <v>135145.44</v>
      </c>
      <c r="P98">
        <f t="shared" si="5"/>
        <v>0</v>
      </c>
      <c r="Q98">
        <f t="shared" si="6"/>
        <v>0</v>
      </c>
      <c r="S98">
        <f t="shared" si="7"/>
        <v>0</v>
      </c>
      <c r="T98" s="4">
        <f t="shared" si="8"/>
        <v>0</v>
      </c>
      <c r="U98">
        <f t="shared" si="9"/>
        <v>1</v>
      </c>
      <c r="X98" s="4"/>
    </row>
    <row r="99" spans="1:24">
      <c r="A99" s="4" t="s">
        <v>46</v>
      </c>
      <c r="B99" s="5">
        <v>45689</v>
      </c>
      <c r="C99" s="4" t="s">
        <v>27</v>
      </c>
      <c r="D99" s="4" t="s">
        <v>28</v>
      </c>
      <c r="E99" s="4">
        <v>78839.39</v>
      </c>
      <c r="F99" s="4">
        <v>5150</v>
      </c>
      <c r="G99" s="4">
        <v>0.17100000000000001</v>
      </c>
      <c r="H99" s="4">
        <v>13</v>
      </c>
      <c r="I99" s="4">
        <v>85.8</v>
      </c>
      <c r="J99" s="4">
        <v>7.57</v>
      </c>
      <c r="K99" s="4">
        <v>0</v>
      </c>
      <c r="L99">
        <v>4.3</v>
      </c>
      <c r="M99" s="4">
        <v>735509.4</v>
      </c>
      <c r="N99" s="4">
        <v>83895.96</v>
      </c>
      <c r="P99">
        <f t="shared" si="5"/>
        <v>0</v>
      </c>
      <c r="Q99">
        <f t="shared" si="6"/>
        <v>0</v>
      </c>
      <c r="S99">
        <f t="shared" si="7"/>
        <v>0</v>
      </c>
      <c r="T99" s="4">
        <f t="shared" si="8"/>
        <v>0</v>
      </c>
      <c r="U99">
        <f t="shared" si="9"/>
        <v>1</v>
      </c>
      <c r="X99" s="4"/>
    </row>
    <row r="100" spans="1:24">
      <c r="A100" s="4" t="s">
        <v>46</v>
      </c>
      <c r="B100" s="5">
        <v>45717</v>
      </c>
      <c r="C100" s="4" t="s">
        <v>27</v>
      </c>
      <c r="D100" s="4" t="s">
        <v>28</v>
      </c>
      <c r="E100" s="4">
        <v>38752.800000000003</v>
      </c>
      <c r="F100" s="4">
        <v>4712</v>
      </c>
      <c r="G100" s="4">
        <v>7.4999999999999997E-2</v>
      </c>
      <c r="H100" s="4">
        <v>15</v>
      </c>
      <c r="I100" s="4">
        <v>89.7</v>
      </c>
      <c r="J100" s="4">
        <v>4.5590445859872624</v>
      </c>
      <c r="K100" s="4">
        <v>0</v>
      </c>
      <c r="L100">
        <v>4.3</v>
      </c>
      <c r="M100" s="4">
        <v>605775.32999999996</v>
      </c>
      <c r="N100" s="4">
        <v>107194.6</v>
      </c>
      <c r="P100">
        <f t="shared" si="5"/>
        <v>0</v>
      </c>
      <c r="Q100">
        <f t="shared" si="6"/>
        <v>0</v>
      </c>
      <c r="S100">
        <f t="shared" si="7"/>
        <v>0</v>
      </c>
      <c r="T100" s="4">
        <f t="shared" si="8"/>
        <v>0</v>
      </c>
      <c r="U100">
        <f t="shared" si="9"/>
        <v>1</v>
      </c>
      <c r="X100" s="4"/>
    </row>
    <row r="101" spans="1:24">
      <c r="A101" s="4" t="s">
        <v>46</v>
      </c>
      <c r="B101" s="5">
        <v>45748</v>
      </c>
      <c r="C101" s="4" t="s">
        <v>27</v>
      </c>
      <c r="D101" s="4" t="s">
        <v>28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 s="4">
        <v>0</v>
      </c>
      <c r="L101">
        <v>4.4000000000000004</v>
      </c>
      <c r="M101" s="4">
        <v>675177.68</v>
      </c>
      <c r="N101" s="4">
        <v>105628.68</v>
      </c>
      <c r="P101">
        <f t="shared" si="5"/>
        <v>0</v>
      </c>
      <c r="Q101">
        <f t="shared" si="6"/>
        <v>0</v>
      </c>
      <c r="S101">
        <f t="shared" si="7"/>
        <v>0</v>
      </c>
      <c r="T101" s="4">
        <f t="shared" si="8"/>
        <v>0</v>
      </c>
      <c r="U101">
        <f t="shared" si="9"/>
        <v>1</v>
      </c>
      <c r="X101" s="4"/>
    </row>
    <row r="102" spans="1:24">
      <c r="A102" s="4" t="s">
        <v>47</v>
      </c>
      <c r="B102" s="5">
        <v>45658</v>
      </c>
      <c r="C102" s="4" t="s">
        <v>15</v>
      </c>
      <c r="D102" s="4" t="s">
        <v>28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 s="4">
        <v>0</v>
      </c>
      <c r="L102">
        <v>4.4000000000000004</v>
      </c>
      <c r="M102" s="4">
        <v>635181.35</v>
      </c>
      <c r="N102" s="4">
        <v>83341.25</v>
      </c>
      <c r="P102">
        <f t="shared" si="5"/>
        <v>0</v>
      </c>
      <c r="Q102">
        <f t="shared" si="6"/>
        <v>0</v>
      </c>
      <c r="S102">
        <f t="shared" si="7"/>
        <v>0</v>
      </c>
      <c r="T102" s="4">
        <f t="shared" si="8"/>
        <v>0</v>
      </c>
      <c r="U102">
        <f t="shared" si="9"/>
        <v>0</v>
      </c>
      <c r="X102" s="4"/>
    </row>
    <row r="103" spans="1:24">
      <c r="A103" s="4" t="s">
        <v>47</v>
      </c>
      <c r="B103" s="5">
        <v>45689</v>
      </c>
      <c r="C103" s="4" t="s">
        <v>15</v>
      </c>
      <c r="D103" s="4" t="s">
        <v>28</v>
      </c>
      <c r="E103" s="4">
        <v>63101.59</v>
      </c>
      <c r="F103" s="4">
        <v>4373</v>
      </c>
      <c r="G103" s="4">
        <v>0.17299999999999999</v>
      </c>
      <c r="H103" s="4">
        <v>14</v>
      </c>
      <c r="I103" s="4">
        <v>90.4</v>
      </c>
      <c r="J103" s="4">
        <v>7.87</v>
      </c>
      <c r="K103" s="4">
        <v>0</v>
      </c>
      <c r="L103">
        <v>4.7</v>
      </c>
      <c r="M103" s="4">
        <v>586626.93999999994</v>
      </c>
      <c r="N103" s="4">
        <v>86498.55</v>
      </c>
      <c r="P103">
        <f t="shared" si="5"/>
        <v>0</v>
      </c>
      <c r="Q103">
        <f t="shared" si="6"/>
        <v>0</v>
      </c>
      <c r="S103">
        <f t="shared" si="7"/>
        <v>0</v>
      </c>
      <c r="T103" s="4">
        <f t="shared" si="8"/>
        <v>0</v>
      </c>
      <c r="U103">
        <f t="shared" si="9"/>
        <v>0</v>
      </c>
      <c r="X103" s="4"/>
    </row>
    <row r="104" spans="1:24">
      <c r="A104" s="4" t="s">
        <v>47</v>
      </c>
      <c r="B104" s="5">
        <v>45717</v>
      </c>
      <c r="C104" s="4" t="s">
        <v>15</v>
      </c>
      <c r="D104" s="4" t="s">
        <v>28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 s="4">
        <v>1</v>
      </c>
      <c r="L104">
        <v>4.4000000000000004</v>
      </c>
      <c r="M104" s="4">
        <v>740102.64</v>
      </c>
      <c r="N104" s="4">
        <v>114299.07</v>
      </c>
      <c r="P104">
        <f t="shared" si="5"/>
        <v>0</v>
      </c>
      <c r="Q104">
        <f t="shared" si="6"/>
        <v>0</v>
      </c>
      <c r="S104">
        <f t="shared" si="7"/>
        <v>0</v>
      </c>
      <c r="T104" s="4">
        <f t="shared" si="8"/>
        <v>0</v>
      </c>
      <c r="U104">
        <f t="shared" si="9"/>
        <v>0</v>
      </c>
      <c r="X104" s="4"/>
    </row>
    <row r="105" spans="1:24">
      <c r="A105" s="4" t="s">
        <v>47</v>
      </c>
      <c r="B105" s="5">
        <v>45748</v>
      </c>
      <c r="C105" s="4" t="s">
        <v>15</v>
      </c>
      <c r="D105" s="4" t="s">
        <v>28</v>
      </c>
      <c r="E105" s="4">
        <v>32266.639999999999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 s="4">
        <v>0</v>
      </c>
      <c r="L105">
        <v>5</v>
      </c>
      <c r="M105" s="4">
        <v>625514.04</v>
      </c>
      <c r="N105" s="4">
        <v>120685.08</v>
      </c>
      <c r="P105">
        <f t="shared" si="5"/>
        <v>0</v>
      </c>
      <c r="Q105">
        <f t="shared" si="6"/>
        <v>0</v>
      </c>
      <c r="S105">
        <f t="shared" si="7"/>
        <v>0</v>
      </c>
      <c r="T105" s="4">
        <f t="shared" si="8"/>
        <v>0</v>
      </c>
      <c r="U105">
        <f t="shared" si="9"/>
        <v>0</v>
      </c>
      <c r="X105" s="4"/>
    </row>
    <row r="106" spans="1:24">
      <c r="A106" s="4" t="s">
        <v>48</v>
      </c>
      <c r="B106" s="5">
        <v>45658</v>
      </c>
      <c r="C106" s="4" t="s">
        <v>27</v>
      </c>
      <c r="D106" s="4" t="s">
        <v>18</v>
      </c>
      <c r="E106" s="4">
        <v>57919.07</v>
      </c>
      <c r="F106" s="4">
        <v>7374</v>
      </c>
      <c r="G106" s="4">
        <v>0.10299999999999999</v>
      </c>
      <c r="H106" s="4">
        <v>21</v>
      </c>
      <c r="I106" s="4">
        <v>82.3</v>
      </c>
      <c r="J106" s="4">
        <v>2.87</v>
      </c>
      <c r="K106" s="4">
        <v>0</v>
      </c>
      <c r="L106">
        <v>2.9</v>
      </c>
      <c r="M106" s="4">
        <v>727227.2</v>
      </c>
      <c r="N106" s="4">
        <v>121292.01</v>
      </c>
      <c r="P106">
        <f t="shared" si="5"/>
        <v>1</v>
      </c>
      <c r="Q106">
        <f t="shared" si="6"/>
        <v>0</v>
      </c>
      <c r="S106">
        <f t="shared" si="7"/>
        <v>0</v>
      </c>
      <c r="T106" s="4">
        <f t="shared" si="8"/>
        <v>0</v>
      </c>
      <c r="U106">
        <f t="shared" si="9"/>
        <v>1</v>
      </c>
      <c r="X106" s="4"/>
    </row>
    <row r="107" spans="1:24">
      <c r="A107" s="4" t="s">
        <v>48</v>
      </c>
      <c r="B107" s="5">
        <v>45689</v>
      </c>
      <c r="C107" s="4" t="s">
        <v>27</v>
      </c>
      <c r="D107" s="4" t="s">
        <v>18</v>
      </c>
      <c r="E107" s="4">
        <v>74679.350000000006</v>
      </c>
      <c r="F107" s="4">
        <v>8739</v>
      </c>
      <c r="G107" s="4">
        <v>5.6000000000000001E-2</v>
      </c>
      <c r="H107" s="4">
        <v>21</v>
      </c>
      <c r="I107" s="4">
        <v>91.8</v>
      </c>
      <c r="J107" s="4">
        <v>2.83</v>
      </c>
      <c r="K107" s="4">
        <v>0</v>
      </c>
      <c r="L107">
        <v>3</v>
      </c>
      <c r="M107" s="4">
        <v>783797.89</v>
      </c>
      <c r="N107" s="4">
        <v>157620.70000000001</v>
      </c>
      <c r="P107">
        <f t="shared" si="5"/>
        <v>1</v>
      </c>
      <c r="Q107">
        <f t="shared" si="6"/>
        <v>0</v>
      </c>
      <c r="S107">
        <f t="shared" si="7"/>
        <v>0</v>
      </c>
      <c r="T107" s="4">
        <f t="shared" si="8"/>
        <v>0</v>
      </c>
      <c r="U107">
        <f t="shared" si="9"/>
        <v>1</v>
      </c>
      <c r="X107" s="4"/>
    </row>
    <row r="108" spans="1:24">
      <c r="A108" s="4" t="s">
        <v>48</v>
      </c>
      <c r="B108" s="5">
        <v>45717</v>
      </c>
      <c r="C108" s="4" t="s">
        <v>27</v>
      </c>
      <c r="D108" s="4" t="s">
        <v>18</v>
      </c>
      <c r="E108" s="4">
        <v>64294.23</v>
      </c>
      <c r="F108" s="4">
        <v>6992</v>
      </c>
      <c r="G108" s="4">
        <v>0.13300000000000001</v>
      </c>
      <c r="H108" s="4">
        <v>14</v>
      </c>
      <c r="I108" s="4">
        <v>94.1</v>
      </c>
      <c r="J108" s="4">
        <v>0.25</v>
      </c>
      <c r="K108" s="4">
        <v>0</v>
      </c>
      <c r="L108">
        <v>3</v>
      </c>
      <c r="M108" s="4">
        <v>795153.84</v>
      </c>
      <c r="N108" s="4">
        <v>143194.21</v>
      </c>
      <c r="P108">
        <f t="shared" si="5"/>
        <v>1</v>
      </c>
      <c r="Q108">
        <f t="shared" si="6"/>
        <v>0</v>
      </c>
      <c r="S108">
        <f t="shared" si="7"/>
        <v>0</v>
      </c>
      <c r="T108" s="4">
        <f t="shared" si="8"/>
        <v>0</v>
      </c>
      <c r="U108">
        <f t="shared" si="9"/>
        <v>1</v>
      </c>
      <c r="X108" s="4"/>
    </row>
    <row r="109" spans="1:24">
      <c r="A109" s="4" t="s">
        <v>48</v>
      </c>
      <c r="B109" s="5">
        <v>45748</v>
      </c>
      <c r="C109" s="4" t="s">
        <v>27</v>
      </c>
      <c r="D109" s="4" t="s">
        <v>18</v>
      </c>
      <c r="E109" s="4">
        <v>31042.03</v>
      </c>
      <c r="F109" s="4">
        <v>7107</v>
      </c>
      <c r="G109" s="4">
        <v>5.0999999999999997E-2</v>
      </c>
      <c r="H109" s="4">
        <v>15</v>
      </c>
      <c r="I109" s="4">
        <v>87</v>
      </c>
      <c r="J109" s="4">
        <v>13.33</v>
      </c>
      <c r="K109" s="4">
        <v>0</v>
      </c>
      <c r="L109">
        <v>3.2</v>
      </c>
      <c r="M109" s="4">
        <v>665594.93999999994</v>
      </c>
      <c r="N109" s="4">
        <v>127597.34</v>
      </c>
      <c r="P109">
        <f t="shared" si="5"/>
        <v>1</v>
      </c>
      <c r="Q109">
        <f t="shared" si="6"/>
        <v>0</v>
      </c>
      <c r="S109">
        <f t="shared" si="7"/>
        <v>0</v>
      </c>
      <c r="T109" s="4">
        <f t="shared" si="8"/>
        <v>0</v>
      </c>
      <c r="U109">
        <f t="shared" si="9"/>
        <v>1</v>
      </c>
      <c r="X109" s="4"/>
    </row>
    <row r="110" spans="1:24">
      <c r="A110" s="4" t="s">
        <v>49</v>
      </c>
      <c r="B110" s="5">
        <v>45658</v>
      </c>
      <c r="C110" s="4" t="s">
        <v>15</v>
      </c>
      <c r="D110" s="4" t="s">
        <v>28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 s="4">
        <v>1</v>
      </c>
      <c r="L110">
        <v>3.8</v>
      </c>
      <c r="M110" s="4">
        <v>709478.39</v>
      </c>
      <c r="N110" s="4">
        <v>71294.27</v>
      </c>
      <c r="P110">
        <f t="shared" si="5"/>
        <v>0</v>
      </c>
      <c r="Q110">
        <f t="shared" si="6"/>
        <v>0</v>
      </c>
      <c r="S110">
        <f t="shared" si="7"/>
        <v>0</v>
      </c>
      <c r="T110" s="4">
        <f t="shared" si="8"/>
        <v>0</v>
      </c>
      <c r="U110">
        <f t="shared" si="9"/>
        <v>0</v>
      </c>
      <c r="X110" s="4"/>
    </row>
    <row r="111" spans="1:24">
      <c r="A111" s="4" t="s">
        <v>49</v>
      </c>
      <c r="B111" s="5">
        <v>45689</v>
      </c>
      <c r="C111" s="4" t="s">
        <v>15</v>
      </c>
      <c r="D111" s="4" t="s">
        <v>28</v>
      </c>
      <c r="E111" s="4">
        <v>69411.7</v>
      </c>
      <c r="F111" s="4">
        <v>5493</v>
      </c>
      <c r="G111" s="4">
        <v>0.29199999999999998</v>
      </c>
      <c r="H111" s="4">
        <v>13</v>
      </c>
      <c r="I111" s="4">
        <v>86.5</v>
      </c>
      <c r="J111" s="4">
        <v>6.69</v>
      </c>
      <c r="K111" s="4">
        <v>0</v>
      </c>
      <c r="L111">
        <v>3.8</v>
      </c>
      <c r="M111" s="4">
        <v>664162.49</v>
      </c>
      <c r="N111" s="4">
        <v>98291.06</v>
      </c>
      <c r="P111">
        <f t="shared" si="5"/>
        <v>0</v>
      </c>
      <c r="Q111">
        <f t="shared" si="6"/>
        <v>0</v>
      </c>
      <c r="S111">
        <f t="shared" si="7"/>
        <v>0</v>
      </c>
      <c r="T111" s="4">
        <f t="shared" si="8"/>
        <v>0</v>
      </c>
      <c r="U111">
        <f t="shared" si="9"/>
        <v>0</v>
      </c>
      <c r="X111" s="4"/>
    </row>
    <row r="112" spans="1:24">
      <c r="A112" s="4" t="s">
        <v>49</v>
      </c>
      <c r="B112" s="5">
        <v>45717</v>
      </c>
      <c r="C112" s="4" t="s">
        <v>15</v>
      </c>
      <c r="D112" s="4" t="s">
        <v>28</v>
      </c>
      <c r="E112" s="4">
        <v>51056.15</v>
      </c>
      <c r="F112" s="4">
        <v>5686</v>
      </c>
      <c r="G112" s="4">
        <v>8.8999999999999996E-2</v>
      </c>
      <c r="H112" s="4">
        <v>13</v>
      </c>
      <c r="I112" s="4">
        <v>89.9</v>
      </c>
      <c r="J112" s="4">
        <v>1.28</v>
      </c>
      <c r="K112" s="4">
        <v>0</v>
      </c>
      <c r="L112">
        <v>4.2</v>
      </c>
      <c r="M112" s="4">
        <v>633494.21</v>
      </c>
      <c r="N112" s="4">
        <v>105739.47</v>
      </c>
      <c r="P112">
        <f t="shared" si="5"/>
        <v>0</v>
      </c>
      <c r="Q112">
        <f t="shared" si="6"/>
        <v>0</v>
      </c>
      <c r="S112">
        <f t="shared" si="7"/>
        <v>0</v>
      </c>
      <c r="T112" s="4">
        <f t="shared" si="8"/>
        <v>0</v>
      </c>
      <c r="U112">
        <f t="shared" si="9"/>
        <v>0</v>
      </c>
      <c r="X112" s="4"/>
    </row>
    <row r="113" spans="1:24">
      <c r="A113" s="4" t="s">
        <v>49</v>
      </c>
      <c r="B113" s="5">
        <v>45748</v>
      </c>
      <c r="C113" s="4" t="s">
        <v>15</v>
      </c>
      <c r="D113" s="4" t="s">
        <v>28</v>
      </c>
      <c r="E113" s="4">
        <v>52758.01</v>
      </c>
      <c r="F113" s="4">
        <v>4063</v>
      </c>
      <c r="G113" s="4">
        <v>5.7000000000000002E-2</v>
      </c>
      <c r="H113" s="4">
        <v>12</v>
      </c>
      <c r="I113" s="4">
        <v>91.7</v>
      </c>
      <c r="J113" s="4">
        <v>0.92</v>
      </c>
      <c r="K113" s="4">
        <v>0</v>
      </c>
      <c r="L113">
        <v>3.5</v>
      </c>
      <c r="M113" s="4">
        <v>713611.16</v>
      </c>
      <c r="N113" s="4">
        <v>129717.18</v>
      </c>
      <c r="P113">
        <f t="shared" si="5"/>
        <v>0</v>
      </c>
      <c r="Q113">
        <f t="shared" si="6"/>
        <v>0</v>
      </c>
      <c r="S113">
        <f t="shared" si="7"/>
        <v>0</v>
      </c>
      <c r="T113" s="4">
        <f t="shared" si="8"/>
        <v>0</v>
      </c>
      <c r="U113">
        <f t="shared" si="9"/>
        <v>0</v>
      </c>
      <c r="X113" s="4"/>
    </row>
    <row r="114" spans="1:24">
      <c r="A114" s="4" t="s">
        <v>50</v>
      </c>
      <c r="B114" s="5">
        <v>45658</v>
      </c>
      <c r="C114" s="4" t="s">
        <v>27</v>
      </c>
      <c r="D114" s="4" t="s">
        <v>28</v>
      </c>
      <c r="E114" s="4">
        <v>61426.04</v>
      </c>
      <c r="F114" s="4">
        <v>8966</v>
      </c>
      <c r="G114" s="4">
        <v>0.17299999999999999</v>
      </c>
      <c r="H114" s="4">
        <v>22</v>
      </c>
      <c r="I114" s="4">
        <v>76.400000000000006</v>
      </c>
      <c r="J114" s="4">
        <v>1.05</v>
      </c>
      <c r="K114" s="4">
        <v>0</v>
      </c>
      <c r="L114">
        <v>3.1</v>
      </c>
      <c r="M114" s="4">
        <v>778397.97</v>
      </c>
      <c r="N114" s="4">
        <v>120044.41</v>
      </c>
      <c r="P114">
        <f t="shared" si="5"/>
        <v>0</v>
      </c>
      <c r="Q114">
        <f t="shared" si="6"/>
        <v>0</v>
      </c>
      <c r="S114">
        <f t="shared" si="7"/>
        <v>0</v>
      </c>
      <c r="T114" s="4">
        <f t="shared" si="8"/>
        <v>0</v>
      </c>
      <c r="U114">
        <f t="shared" si="9"/>
        <v>1</v>
      </c>
      <c r="X114" s="4"/>
    </row>
    <row r="115" spans="1:24">
      <c r="A115" s="4" t="s">
        <v>50</v>
      </c>
      <c r="B115" s="5">
        <v>45689</v>
      </c>
      <c r="C115" s="4" t="s">
        <v>27</v>
      </c>
      <c r="D115" s="4" t="s">
        <v>28</v>
      </c>
      <c r="E115" s="4">
        <v>80176.34</v>
      </c>
      <c r="F115" s="4">
        <v>9489</v>
      </c>
      <c r="G115" s="4">
        <v>0.14199999999999999</v>
      </c>
      <c r="H115" s="4">
        <v>22</v>
      </c>
      <c r="I115" s="4">
        <v>94.3</v>
      </c>
      <c r="J115" s="4">
        <v>2.67</v>
      </c>
      <c r="K115" s="4">
        <v>0</v>
      </c>
      <c r="L115">
        <v>3.5</v>
      </c>
      <c r="M115" s="4">
        <v>873380.02</v>
      </c>
      <c r="N115" s="4">
        <v>149734.76</v>
      </c>
      <c r="P115">
        <f t="shared" si="5"/>
        <v>0</v>
      </c>
      <c r="Q115">
        <f t="shared" si="6"/>
        <v>0</v>
      </c>
      <c r="S115">
        <f t="shared" si="7"/>
        <v>0</v>
      </c>
      <c r="T115" s="4">
        <f t="shared" si="8"/>
        <v>0</v>
      </c>
      <c r="U115">
        <f t="shared" si="9"/>
        <v>1</v>
      </c>
      <c r="X115" s="4"/>
    </row>
    <row r="116" spans="1:24">
      <c r="A116" s="4" t="s">
        <v>50</v>
      </c>
      <c r="B116" s="5">
        <v>45717</v>
      </c>
      <c r="C116" s="4" t="s">
        <v>27</v>
      </c>
      <c r="D116" s="4" t="s">
        <v>28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 s="4">
        <v>0</v>
      </c>
      <c r="L116">
        <v>2.8</v>
      </c>
      <c r="M116" s="4">
        <v>697287.9</v>
      </c>
      <c r="N116" s="4">
        <v>128208.33</v>
      </c>
      <c r="P116">
        <f t="shared" si="5"/>
        <v>0</v>
      </c>
      <c r="Q116">
        <f t="shared" si="6"/>
        <v>0</v>
      </c>
      <c r="S116">
        <f t="shared" si="7"/>
        <v>0</v>
      </c>
      <c r="T116" s="4">
        <f t="shared" si="8"/>
        <v>0</v>
      </c>
      <c r="U116">
        <f t="shared" si="9"/>
        <v>1</v>
      </c>
      <c r="X116" s="4"/>
    </row>
    <row r="117" spans="1:24">
      <c r="A117" s="4" t="s">
        <v>50</v>
      </c>
      <c r="B117" s="5">
        <v>45748</v>
      </c>
      <c r="C117" s="4" t="s">
        <v>27</v>
      </c>
      <c r="D117" s="4" t="s">
        <v>28</v>
      </c>
      <c r="E117" s="4">
        <v>25990.54</v>
      </c>
      <c r="F117" s="4">
        <v>9249</v>
      </c>
      <c r="G117" s="4">
        <v>0.13900000000000001</v>
      </c>
      <c r="H117" s="4">
        <v>23</v>
      </c>
      <c r="I117" s="4">
        <v>92.5</v>
      </c>
      <c r="J117" s="4">
        <v>6.37</v>
      </c>
      <c r="K117" s="4">
        <v>0</v>
      </c>
      <c r="L117">
        <v>3.3</v>
      </c>
      <c r="M117" s="4">
        <v>718074.79</v>
      </c>
      <c r="N117" s="4">
        <v>115819.87</v>
      </c>
      <c r="P117">
        <f t="shared" si="5"/>
        <v>0</v>
      </c>
      <c r="Q117">
        <f t="shared" si="6"/>
        <v>0</v>
      </c>
      <c r="S117">
        <f t="shared" si="7"/>
        <v>0</v>
      </c>
      <c r="T117" s="4">
        <f t="shared" si="8"/>
        <v>0</v>
      </c>
      <c r="U117">
        <f t="shared" si="9"/>
        <v>1</v>
      </c>
      <c r="X117" s="4"/>
    </row>
    <row r="118" spans="1:24">
      <c r="A118" s="4" t="s">
        <v>51</v>
      </c>
      <c r="B118" s="5">
        <v>45658</v>
      </c>
      <c r="C118" s="4" t="s">
        <v>27</v>
      </c>
      <c r="D118" s="4" t="s">
        <v>16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2.4900000000000002</v>
      </c>
      <c r="K118" s="4">
        <v>1</v>
      </c>
      <c r="L118">
        <v>4.7</v>
      </c>
      <c r="M118" s="4">
        <v>714942.43</v>
      </c>
      <c r="N118" s="4">
        <v>94697.71</v>
      </c>
      <c r="P118">
        <f t="shared" si="5"/>
        <v>0</v>
      </c>
      <c r="Q118">
        <f t="shared" si="6"/>
        <v>1</v>
      </c>
      <c r="S118">
        <f t="shared" si="7"/>
        <v>0</v>
      </c>
      <c r="T118" s="4">
        <f t="shared" si="8"/>
        <v>0</v>
      </c>
      <c r="U118">
        <f t="shared" si="9"/>
        <v>1</v>
      </c>
      <c r="X118" s="4"/>
    </row>
    <row r="119" spans="1:24">
      <c r="A119" s="4" t="s">
        <v>51</v>
      </c>
      <c r="B119" s="5">
        <v>45689</v>
      </c>
      <c r="C119" s="4" t="s">
        <v>27</v>
      </c>
      <c r="D119" s="4" t="s">
        <v>16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 s="4">
        <v>0</v>
      </c>
      <c r="L119">
        <v>4.7</v>
      </c>
      <c r="M119" s="4">
        <v>820519.04</v>
      </c>
      <c r="N119" s="4">
        <v>99035.88</v>
      </c>
      <c r="P119">
        <f t="shared" si="5"/>
        <v>0</v>
      </c>
      <c r="Q119">
        <f t="shared" si="6"/>
        <v>1</v>
      </c>
      <c r="S119">
        <f t="shared" si="7"/>
        <v>0</v>
      </c>
      <c r="T119" s="4">
        <f t="shared" si="8"/>
        <v>0</v>
      </c>
      <c r="U119">
        <f t="shared" si="9"/>
        <v>1</v>
      </c>
      <c r="X119" s="4"/>
    </row>
    <row r="120" spans="1:24">
      <c r="A120" s="4" t="s">
        <v>51</v>
      </c>
      <c r="B120" s="5">
        <v>45717</v>
      </c>
      <c r="C120" s="4" t="s">
        <v>27</v>
      </c>
      <c r="D120" s="4" t="s">
        <v>16</v>
      </c>
      <c r="E120" s="4">
        <v>42415.47</v>
      </c>
      <c r="F120" s="4">
        <v>8512</v>
      </c>
      <c r="G120" s="4">
        <v>0.13300000000000001</v>
      </c>
      <c r="H120" s="4">
        <v>18</v>
      </c>
      <c r="I120" s="4">
        <v>96.8</v>
      </c>
      <c r="J120" s="4">
        <v>14.95</v>
      </c>
      <c r="K120" s="4">
        <v>0</v>
      </c>
      <c r="L120">
        <v>4.5999999999999996</v>
      </c>
      <c r="M120" s="4">
        <v>684217.32</v>
      </c>
      <c r="N120" s="4">
        <v>136217.19</v>
      </c>
      <c r="P120">
        <f t="shared" si="5"/>
        <v>0</v>
      </c>
      <c r="Q120">
        <f t="shared" si="6"/>
        <v>1</v>
      </c>
      <c r="S120">
        <f t="shared" si="7"/>
        <v>0</v>
      </c>
      <c r="T120" s="4">
        <f t="shared" si="8"/>
        <v>0</v>
      </c>
      <c r="U120">
        <f t="shared" si="9"/>
        <v>1</v>
      </c>
      <c r="X120" s="4"/>
    </row>
    <row r="121" spans="1:24">
      <c r="A121" s="4" t="s">
        <v>51</v>
      </c>
      <c r="B121" s="5">
        <v>45748</v>
      </c>
      <c r="C121" s="4" t="s">
        <v>27</v>
      </c>
      <c r="D121" s="4" t="s">
        <v>16</v>
      </c>
      <c r="E121" s="4">
        <v>54968.98</v>
      </c>
      <c r="F121" s="4">
        <v>7816</v>
      </c>
      <c r="G121" s="4">
        <v>0.23200000000000001</v>
      </c>
      <c r="H121" s="4">
        <v>19</v>
      </c>
      <c r="I121" s="4">
        <v>95.7</v>
      </c>
      <c r="J121" s="4">
        <v>7.85</v>
      </c>
      <c r="K121" s="4">
        <v>0</v>
      </c>
      <c r="L121">
        <v>4.7</v>
      </c>
      <c r="M121" s="4">
        <v>735480.19</v>
      </c>
      <c r="N121" s="4">
        <v>88342.11</v>
      </c>
      <c r="P121">
        <f t="shared" si="5"/>
        <v>0</v>
      </c>
      <c r="Q121">
        <f t="shared" si="6"/>
        <v>1</v>
      </c>
      <c r="S121">
        <f t="shared" si="7"/>
        <v>0</v>
      </c>
      <c r="T121" s="4">
        <f t="shared" si="8"/>
        <v>0</v>
      </c>
      <c r="U121">
        <f t="shared" si="9"/>
        <v>1</v>
      </c>
      <c r="X121" s="4"/>
    </row>
    <row r="122" spans="1:24">
      <c r="A122" s="4" t="s">
        <v>52</v>
      </c>
      <c r="B122" s="5">
        <v>45658</v>
      </c>
      <c r="C122" s="4" t="s">
        <v>20</v>
      </c>
      <c r="D122" s="4" t="s">
        <v>18</v>
      </c>
      <c r="E122" s="4">
        <v>43896.13</v>
      </c>
      <c r="F122" s="4">
        <v>3853</v>
      </c>
      <c r="G122" s="4">
        <v>8.7999999999999995E-2</v>
      </c>
      <c r="H122" s="4">
        <v>13</v>
      </c>
      <c r="I122" s="4">
        <v>83</v>
      </c>
      <c r="J122" s="4">
        <v>6.8</v>
      </c>
      <c r="K122" s="4">
        <v>0</v>
      </c>
      <c r="L122">
        <v>4.4000000000000004</v>
      </c>
      <c r="M122" s="4">
        <v>509484.81</v>
      </c>
      <c r="N122" s="4">
        <v>85742.36</v>
      </c>
      <c r="P122">
        <f t="shared" si="5"/>
        <v>1</v>
      </c>
      <c r="Q122">
        <f t="shared" si="6"/>
        <v>0</v>
      </c>
      <c r="S122">
        <f t="shared" si="7"/>
        <v>1</v>
      </c>
      <c r="T122" s="4">
        <f t="shared" si="8"/>
        <v>0</v>
      </c>
      <c r="U122">
        <f t="shared" si="9"/>
        <v>0</v>
      </c>
      <c r="X122" s="4"/>
    </row>
    <row r="123" spans="1:24">
      <c r="A123" s="4" t="s">
        <v>52</v>
      </c>
      <c r="B123" s="5">
        <v>45689</v>
      </c>
      <c r="C123" s="4" t="s">
        <v>20</v>
      </c>
      <c r="D123" s="4" t="s">
        <v>18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2.2000000000000002</v>
      </c>
      <c r="K123" s="4">
        <v>0</v>
      </c>
      <c r="L123">
        <v>3.7</v>
      </c>
      <c r="M123" s="4">
        <v>654317.09</v>
      </c>
      <c r="N123" s="4">
        <v>121446.89</v>
      </c>
      <c r="P123">
        <f t="shared" si="5"/>
        <v>1</v>
      </c>
      <c r="Q123">
        <f t="shared" si="6"/>
        <v>0</v>
      </c>
      <c r="S123">
        <f t="shared" si="7"/>
        <v>1</v>
      </c>
      <c r="T123" s="4">
        <f t="shared" si="8"/>
        <v>0</v>
      </c>
      <c r="U123">
        <f t="shared" si="9"/>
        <v>0</v>
      </c>
      <c r="X123" s="4"/>
    </row>
    <row r="124" spans="1:24">
      <c r="A124" s="4" t="s">
        <v>52</v>
      </c>
      <c r="B124" s="5">
        <v>45717</v>
      </c>
      <c r="C124" s="4" t="s">
        <v>20</v>
      </c>
      <c r="D124" s="4" t="s">
        <v>18</v>
      </c>
      <c r="E124" s="4">
        <v>48396.13</v>
      </c>
      <c r="F124" s="4">
        <v>4423</v>
      </c>
      <c r="G124" s="4">
        <v>6.9000000000000006E-2</v>
      </c>
      <c r="H124" s="4">
        <v>15</v>
      </c>
      <c r="I124" s="4">
        <v>85.7</v>
      </c>
      <c r="J124" s="4">
        <v>1.88</v>
      </c>
      <c r="K124" s="4">
        <v>0</v>
      </c>
      <c r="L124">
        <v>3.9</v>
      </c>
      <c r="M124" s="4">
        <v>557487.26</v>
      </c>
      <c r="N124" s="4">
        <v>76432.19</v>
      </c>
      <c r="P124">
        <f t="shared" si="5"/>
        <v>1</v>
      </c>
      <c r="Q124">
        <f t="shared" si="6"/>
        <v>0</v>
      </c>
      <c r="S124">
        <f t="shared" si="7"/>
        <v>1</v>
      </c>
      <c r="T124" s="4">
        <f t="shared" si="8"/>
        <v>0</v>
      </c>
      <c r="U124">
        <f t="shared" si="9"/>
        <v>0</v>
      </c>
      <c r="X124" s="4"/>
    </row>
    <row r="125" spans="1:24">
      <c r="A125" s="4" t="s">
        <v>52</v>
      </c>
      <c r="B125" s="5">
        <v>45748</v>
      </c>
      <c r="C125" s="4" t="s">
        <v>20</v>
      </c>
      <c r="D125" s="4" t="s">
        <v>18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 s="4">
        <v>0</v>
      </c>
      <c r="L125">
        <v>4.4000000000000004</v>
      </c>
      <c r="M125" s="4">
        <v>441275.42</v>
      </c>
      <c r="N125" s="4">
        <v>58234.87</v>
      </c>
      <c r="P125">
        <f t="shared" si="5"/>
        <v>1</v>
      </c>
      <c r="Q125">
        <f t="shared" si="6"/>
        <v>0</v>
      </c>
      <c r="S125">
        <f t="shared" si="7"/>
        <v>1</v>
      </c>
      <c r="T125" s="4">
        <f t="shared" si="8"/>
        <v>0</v>
      </c>
      <c r="U125">
        <f t="shared" si="9"/>
        <v>0</v>
      </c>
      <c r="X125" s="4"/>
    </row>
    <row r="126" spans="1:24">
      <c r="A126" s="4" t="s">
        <v>53</v>
      </c>
      <c r="B126" s="5">
        <v>45658</v>
      </c>
      <c r="C126" s="4" t="s">
        <v>24</v>
      </c>
      <c r="D126" s="4" t="s">
        <v>18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 s="4">
        <v>1</v>
      </c>
      <c r="L126">
        <v>4.8</v>
      </c>
      <c r="M126" s="4">
        <v>914544.17</v>
      </c>
      <c r="N126" s="4">
        <v>79831.73</v>
      </c>
      <c r="P126">
        <f t="shared" si="5"/>
        <v>1</v>
      </c>
      <c r="Q126">
        <f t="shared" si="6"/>
        <v>0</v>
      </c>
      <c r="S126">
        <f t="shared" si="7"/>
        <v>0</v>
      </c>
      <c r="T126" s="4">
        <f t="shared" si="8"/>
        <v>1</v>
      </c>
      <c r="U126">
        <f t="shared" si="9"/>
        <v>0</v>
      </c>
      <c r="X126" s="4"/>
    </row>
    <row r="127" spans="1:24">
      <c r="A127" s="4" t="s">
        <v>53</v>
      </c>
      <c r="B127" s="5">
        <v>45689</v>
      </c>
      <c r="C127" s="4" t="s">
        <v>24</v>
      </c>
      <c r="D127" s="4" t="s">
        <v>18</v>
      </c>
      <c r="E127" s="4">
        <v>44747</v>
      </c>
      <c r="F127" s="4">
        <v>11076</v>
      </c>
      <c r="G127" s="4">
        <v>0.17599999999999999</v>
      </c>
      <c r="H127" s="4">
        <v>27</v>
      </c>
      <c r="I127" s="4">
        <v>98.3</v>
      </c>
      <c r="J127" s="4">
        <v>0.54</v>
      </c>
      <c r="K127" s="4">
        <v>0</v>
      </c>
      <c r="L127">
        <v>4.4000000000000004</v>
      </c>
      <c r="M127" s="4">
        <v>842439.67</v>
      </c>
      <c r="N127" s="4">
        <v>169983.63</v>
      </c>
      <c r="P127">
        <f t="shared" si="5"/>
        <v>1</v>
      </c>
      <c r="Q127">
        <f t="shared" si="6"/>
        <v>0</v>
      </c>
      <c r="S127">
        <f t="shared" si="7"/>
        <v>0</v>
      </c>
      <c r="T127" s="4">
        <f t="shared" si="8"/>
        <v>1</v>
      </c>
      <c r="U127">
        <f t="shared" si="9"/>
        <v>0</v>
      </c>
      <c r="X127" s="4"/>
    </row>
    <row r="128" spans="1:24">
      <c r="A128" s="4" t="s">
        <v>53</v>
      </c>
      <c r="B128" s="5">
        <v>45717</v>
      </c>
      <c r="C128" s="4" t="s">
        <v>24</v>
      </c>
      <c r="D128" s="4" t="s">
        <v>18</v>
      </c>
      <c r="E128" s="4">
        <v>56517.9</v>
      </c>
      <c r="F128" s="4">
        <v>9574</v>
      </c>
      <c r="G128" s="4">
        <v>0.20399999999999999</v>
      </c>
      <c r="H128" s="4">
        <v>20</v>
      </c>
      <c r="I128" s="4">
        <v>88.2</v>
      </c>
      <c r="J128" s="4">
        <v>5.37</v>
      </c>
      <c r="K128" s="4">
        <v>1</v>
      </c>
      <c r="L128">
        <v>4.9000000000000004</v>
      </c>
      <c r="M128" s="4">
        <v>842157.92</v>
      </c>
      <c r="N128" s="4">
        <v>107348.22</v>
      </c>
      <c r="P128">
        <f t="shared" si="5"/>
        <v>1</v>
      </c>
      <c r="Q128">
        <f t="shared" si="6"/>
        <v>0</v>
      </c>
      <c r="S128">
        <f t="shared" si="7"/>
        <v>0</v>
      </c>
      <c r="T128" s="4">
        <f t="shared" si="8"/>
        <v>1</v>
      </c>
      <c r="U128">
        <f t="shared" si="9"/>
        <v>0</v>
      </c>
      <c r="X128" s="4"/>
    </row>
    <row r="129" spans="1:24">
      <c r="A129" s="4" t="s">
        <v>53</v>
      </c>
      <c r="B129" s="5">
        <v>45748</v>
      </c>
      <c r="C129" s="4" t="s">
        <v>24</v>
      </c>
      <c r="D129" s="4" t="s">
        <v>18</v>
      </c>
      <c r="E129" s="4">
        <v>37828.5</v>
      </c>
      <c r="F129" s="4">
        <v>8221</v>
      </c>
      <c r="G129" s="4">
        <v>9.6000000000000002E-2</v>
      </c>
      <c r="H129" s="4">
        <v>19</v>
      </c>
      <c r="I129" s="4">
        <v>81.5</v>
      </c>
      <c r="J129" s="4">
        <v>3.19</v>
      </c>
      <c r="K129" s="4">
        <v>0</v>
      </c>
      <c r="L129">
        <v>4.8</v>
      </c>
      <c r="M129" s="4">
        <v>697155.3</v>
      </c>
      <c r="N129" s="4">
        <v>136408.54</v>
      </c>
      <c r="P129">
        <f t="shared" si="5"/>
        <v>1</v>
      </c>
      <c r="Q129">
        <f t="shared" si="6"/>
        <v>0</v>
      </c>
      <c r="S129">
        <f t="shared" si="7"/>
        <v>0</v>
      </c>
      <c r="T129" s="4">
        <f t="shared" si="8"/>
        <v>1</v>
      </c>
      <c r="U129">
        <f t="shared" si="9"/>
        <v>0</v>
      </c>
      <c r="X129" s="4"/>
    </row>
    <row r="130" spans="1:24">
      <c r="A130" s="4" t="s">
        <v>54</v>
      </c>
      <c r="B130" s="5">
        <v>45658</v>
      </c>
      <c r="C130" s="4" t="s">
        <v>15</v>
      </c>
      <c r="D130" s="4" t="s">
        <v>18</v>
      </c>
      <c r="E130" s="4">
        <v>66250.53</v>
      </c>
      <c r="F130" s="4">
        <v>10618</v>
      </c>
      <c r="G130" s="4">
        <v>0.14199999999999999</v>
      </c>
      <c r="H130" s="4">
        <v>27</v>
      </c>
      <c r="I130" s="4">
        <v>88.3</v>
      </c>
      <c r="J130" s="4">
        <v>1.1000000000000001</v>
      </c>
      <c r="K130" s="4">
        <v>1</v>
      </c>
      <c r="L130">
        <v>4.4000000000000004</v>
      </c>
      <c r="M130" s="4">
        <v>849018.3</v>
      </c>
      <c r="N130" s="4">
        <v>149035.13</v>
      </c>
      <c r="P130">
        <f t="shared" ref="P130:P193" si="10">IF(D130="High Street",1,0)</f>
        <v>1</v>
      </c>
      <c r="Q130">
        <f t="shared" ref="Q130:Q193" si="11">IF(D130="Residential",1,0)</f>
        <v>0</v>
      </c>
      <c r="S130">
        <f t="shared" ref="S130:S193" si="12">IF(C130="North",1,0)</f>
        <v>0</v>
      </c>
      <c r="T130" s="4">
        <f t="shared" ref="T130:T193" si="13">IF(C130="South",1,0)</f>
        <v>0</v>
      </c>
      <c r="U130">
        <f t="shared" ref="U130:U193" si="14">IF(C130="West",1,0)</f>
        <v>0</v>
      </c>
      <c r="X130" s="4"/>
    </row>
    <row r="131" spans="1:24">
      <c r="A131" s="4" t="s">
        <v>54</v>
      </c>
      <c r="B131" s="5">
        <v>45689</v>
      </c>
      <c r="C131" s="4" t="s">
        <v>15</v>
      </c>
      <c r="D131" s="4" t="s">
        <v>18</v>
      </c>
      <c r="E131" s="4">
        <v>68410.929999999993</v>
      </c>
      <c r="F131" s="4">
        <v>10596</v>
      </c>
      <c r="G131" s="4">
        <v>0.20699999999999999</v>
      </c>
      <c r="H131" s="4">
        <v>25</v>
      </c>
      <c r="I131" s="4">
        <v>81.2</v>
      </c>
      <c r="J131" s="4">
        <v>0.21</v>
      </c>
      <c r="K131" s="4">
        <v>0</v>
      </c>
      <c r="L131">
        <v>4</v>
      </c>
      <c r="M131" s="4">
        <v>801830.35</v>
      </c>
      <c r="N131" s="4">
        <v>114875.32</v>
      </c>
      <c r="P131">
        <f t="shared" si="10"/>
        <v>1</v>
      </c>
      <c r="Q131">
        <f t="shared" si="11"/>
        <v>0</v>
      </c>
      <c r="S131">
        <f t="shared" si="12"/>
        <v>0</v>
      </c>
      <c r="T131" s="4">
        <f t="shared" si="13"/>
        <v>0</v>
      </c>
      <c r="U131">
        <f t="shared" si="14"/>
        <v>0</v>
      </c>
      <c r="X131" s="4"/>
    </row>
    <row r="132" spans="1:24">
      <c r="A132" s="4" t="s">
        <v>54</v>
      </c>
      <c r="B132" s="5">
        <v>45717</v>
      </c>
      <c r="C132" s="4" t="s">
        <v>15</v>
      </c>
      <c r="D132" s="4" t="s">
        <v>18</v>
      </c>
      <c r="E132" s="4">
        <v>50735.63</v>
      </c>
      <c r="F132" s="4">
        <v>9619</v>
      </c>
      <c r="G132" s="4">
        <v>0.14399999999999999</v>
      </c>
      <c r="H132" s="4">
        <v>19</v>
      </c>
      <c r="I132" s="4">
        <v>93.8</v>
      </c>
      <c r="J132" s="4">
        <v>5.12</v>
      </c>
      <c r="K132" s="4">
        <v>1</v>
      </c>
      <c r="L132">
        <v>4.5</v>
      </c>
      <c r="M132" s="4">
        <v>725235.28</v>
      </c>
      <c r="N132" s="4">
        <v>121632.24</v>
      </c>
      <c r="P132">
        <f t="shared" si="10"/>
        <v>1</v>
      </c>
      <c r="Q132">
        <f t="shared" si="11"/>
        <v>0</v>
      </c>
      <c r="S132">
        <f t="shared" si="12"/>
        <v>0</v>
      </c>
      <c r="T132" s="4">
        <f t="shared" si="13"/>
        <v>0</v>
      </c>
      <c r="U132">
        <f t="shared" si="14"/>
        <v>0</v>
      </c>
      <c r="X132" s="4"/>
    </row>
    <row r="133" spans="1:24">
      <c r="A133" s="4" t="s">
        <v>54</v>
      </c>
      <c r="B133" s="5">
        <v>45748</v>
      </c>
      <c r="C133" s="4" t="s">
        <v>15</v>
      </c>
      <c r="D133" s="4" t="s">
        <v>18</v>
      </c>
      <c r="E133" s="4">
        <v>66455.8</v>
      </c>
      <c r="F133" s="4">
        <v>10836</v>
      </c>
      <c r="G133" s="4">
        <v>8.8999999999999996E-2</v>
      </c>
      <c r="H133" s="4">
        <v>25</v>
      </c>
      <c r="I133" s="4">
        <v>85</v>
      </c>
      <c r="J133" s="4">
        <v>9.77</v>
      </c>
      <c r="K133" s="4">
        <v>0</v>
      </c>
      <c r="L133">
        <v>4.5</v>
      </c>
      <c r="M133" s="4">
        <v>811452.72</v>
      </c>
      <c r="N133" s="4">
        <v>131325.67000000001</v>
      </c>
      <c r="P133">
        <f t="shared" si="10"/>
        <v>1</v>
      </c>
      <c r="Q133">
        <f t="shared" si="11"/>
        <v>0</v>
      </c>
      <c r="S133">
        <f t="shared" si="12"/>
        <v>0</v>
      </c>
      <c r="T133" s="4">
        <f t="shared" si="13"/>
        <v>0</v>
      </c>
      <c r="U133">
        <f t="shared" si="14"/>
        <v>0</v>
      </c>
      <c r="X133" s="4"/>
    </row>
    <row r="134" spans="1:24">
      <c r="A134" s="4" t="s">
        <v>55</v>
      </c>
      <c r="B134" s="5">
        <v>45658</v>
      </c>
      <c r="C134" s="4" t="s">
        <v>20</v>
      </c>
      <c r="D134" s="4" t="s">
        <v>18</v>
      </c>
      <c r="E134" s="4">
        <v>70276.28</v>
      </c>
      <c r="F134" s="4">
        <v>3043</v>
      </c>
      <c r="G134" s="4">
        <v>7.9000000000000001E-2</v>
      </c>
      <c r="H134" s="4">
        <v>9</v>
      </c>
      <c r="I134" s="4">
        <v>87.9</v>
      </c>
      <c r="J134" s="4">
        <v>3.77</v>
      </c>
      <c r="K134" s="4">
        <v>0</v>
      </c>
      <c r="L134">
        <v>4.4000000000000004</v>
      </c>
      <c r="M134" s="4">
        <v>527300.13</v>
      </c>
      <c r="N134" s="4">
        <v>84197.87</v>
      </c>
      <c r="P134">
        <f t="shared" si="10"/>
        <v>1</v>
      </c>
      <c r="Q134">
        <f t="shared" si="11"/>
        <v>0</v>
      </c>
      <c r="S134">
        <f t="shared" si="12"/>
        <v>1</v>
      </c>
      <c r="T134" s="4">
        <f t="shared" si="13"/>
        <v>0</v>
      </c>
      <c r="U134">
        <f t="shared" si="14"/>
        <v>0</v>
      </c>
      <c r="X134" s="4"/>
    </row>
    <row r="135" spans="1:24">
      <c r="A135" s="4" t="s">
        <v>55</v>
      </c>
      <c r="B135" s="5">
        <v>45689</v>
      </c>
      <c r="C135" s="4" t="s">
        <v>20</v>
      </c>
      <c r="D135" s="4" t="s">
        <v>18</v>
      </c>
      <c r="E135" s="4">
        <v>22071.64</v>
      </c>
      <c r="F135" s="4">
        <v>1814</v>
      </c>
      <c r="G135" s="4">
        <v>0.19600000000000001</v>
      </c>
      <c r="H135" s="4">
        <v>8</v>
      </c>
      <c r="I135" s="4">
        <v>81.099999999999994</v>
      </c>
      <c r="J135" s="4">
        <v>0.78</v>
      </c>
      <c r="K135" s="4">
        <v>0</v>
      </c>
      <c r="L135">
        <v>3.9246794871794881</v>
      </c>
      <c r="M135" s="4">
        <v>400831.65</v>
      </c>
      <c r="N135" s="4">
        <v>70979.31</v>
      </c>
      <c r="P135">
        <f t="shared" si="10"/>
        <v>1</v>
      </c>
      <c r="Q135">
        <f t="shared" si="11"/>
        <v>0</v>
      </c>
      <c r="S135">
        <f t="shared" si="12"/>
        <v>1</v>
      </c>
      <c r="T135" s="4">
        <f t="shared" si="13"/>
        <v>0</v>
      </c>
      <c r="U135">
        <f t="shared" si="14"/>
        <v>0</v>
      </c>
      <c r="X135" s="4"/>
    </row>
    <row r="136" spans="1:24">
      <c r="A136" s="4" t="s">
        <v>55</v>
      </c>
      <c r="B136" s="5">
        <v>45717</v>
      </c>
      <c r="C136" s="4" t="s">
        <v>20</v>
      </c>
      <c r="D136" s="4" t="s">
        <v>18</v>
      </c>
      <c r="E136" s="4">
        <v>52285.45</v>
      </c>
      <c r="F136" s="4">
        <v>3618</v>
      </c>
      <c r="G136" s="4">
        <v>8.5999999999999993E-2</v>
      </c>
      <c r="H136" s="4">
        <v>11</v>
      </c>
      <c r="I136" s="4">
        <v>95.6</v>
      </c>
      <c r="J136" s="4">
        <v>5.17</v>
      </c>
      <c r="K136" s="4">
        <v>1</v>
      </c>
      <c r="L136">
        <v>4.4000000000000004</v>
      </c>
      <c r="M136" s="4">
        <v>593247.25</v>
      </c>
      <c r="N136" s="4">
        <v>81240.289999999994</v>
      </c>
      <c r="P136">
        <f t="shared" si="10"/>
        <v>1</v>
      </c>
      <c r="Q136">
        <f t="shared" si="11"/>
        <v>0</v>
      </c>
      <c r="S136">
        <f t="shared" si="12"/>
        <v>1</v>
      </c>
      <c r="T136" s="4">
        <f t="shared" si="13"/>
        <v>0</v>
      </c>
      <c r="U136">
        <f t="shared" si="14"/>
        <v>0</v>
      </c>
      <c r="X136" s="4"/>
    </row>
    <row r="137" spans="1:24">
      <c r="A137" s="4" t="s">
        <v>55</v>
      </c>
      <c r="B137" s="5">
        <v>45748</v>
      </c>
      <c r="C137" s="4" t="s">
        <v>20</v>
      </c>
      <c r="D137" s="4" t="s">
        <v>18</v>
      </c>
      <c r="E137" s="4">
        <v>70366.759999999995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 s="4">
        <v>0</v>
      </c>
      <c r="L137">
        <v>4.5999999999999996</v>
      </c>
      <c r="M137" s="4">
        <v>529075.94999999995</v>
      </c>
      <c r="N137" s="4">
        <v>95978.83</v>
      </c>
      <c r="P137">
        <f t="shared" si="10"/>
        <v>1</v>
      </c>
      <c r="Q137">
        <f t="shared" si="11"/>
        <v>0</v>
      </c>
      <c r="S137">
        <f t="shared" si="12"/>
        <v>1</v>
      </c>
      <c r="T137" s="4">
        <f t="shared" si="13"/>
        <v>0</v>
      </c>
      <c r="U137">
        <f t="shared" si="14"/>
        <v>0</v>
      </c>
      <c r="X137" s="4"/>
    </row>
    <row r="138" spans="1:24">
      <c r="A138" s="4" t="s">
        <v>56</v>
      </c>
      <c r="B138" s="5">
        <v>45658</v>
      </c>
      <c r="C138" s="4" t="s">
        <v>24</v>
      </c>
      <c r="D138" s="4" t="s">
        <v>16</v>
      </c>
      <c r="E138" s="4">
        <v>71320.66</v>
      </c>
      <c r="F138" s="4">
        <v>7888</v>
      </c>
      <c r="G138" s="4">
        <v>4.8000000000000001E-2</v>
      </c>
      <c r="H138" s="4">
        <v>20</v>
      </c>
      <c r="I138" s="4">
        <v>78.099999999999994</v>
      </c>
      <c r="J138" s="4">
        <v>3.4</v>
      </c>
      <c r="K138" s="4">
        <v>0</v>
      </c>
      <c r="L138">
        <v>3.9246794871794881</v>
      </c>
      <c r="M138" s="4">
        <v>633638.03</v>
      </c>
      <c r="N138" s="4">
        <v>99402.01</v>
      </c>
      <c r="P138">
        <f t="shared" si="10"/>
        <v>0</v>
      </c>
      <c r="Q138">
        <f t="shared" si="11"/>
        <v>1</v>
      </c>
      <c r="S138">
        <f t="shared" si="12"/>
        <v>0</v>
      </c>
      <c r="T138" s="4">
        <f t="shared" si="13"/>
        <v>1</v>
      </c>
      <c r="U138">
        <f t="shared" si="14"/>
        <v>0</v>
      </c>
      <c r="X138" s="4"/>
    </row>
    <row r="139" spans="1:24">
      <c r="A139" s="4" t="s">
        <v>56</v>
      </c>
      <c r="B139" s="5">
        <v>45689</v>
      </c>
      <c r="C139" s="4" t="s">
        <v>24</v>
      </c>
      <c r="D139" s="4" t="s">
        <v>16</v>
      </c>
      <c r="E139" s="4">
        <v>75109.67</v>
      </c>
      <c r="F139" s="4">
        <v>6244</v>
      </c>
      <c r="G139" s="4">
        <v>7.9000000000000001E-2</v>
      </c>
      <c r="H139" s="4">
        <v>15</v>
      </c>
      <c r="I139" s="4">
        <v>96.3</v>
      </c>
      <c r="J139" s="4">
        <v>7.38</v>
      </c>
      <c r="K139" s="4">
        <v>0</v>
      </c>
      <c r="L139">
        <v>3.7</v>
      </c>
      <c r="M139" s="4">
        <v>743348.84</v>
      </c>
      <c r="N139" s="4">
        <v>104186.09</v>
      </c>
      <c r="P139">
        <f t="shared" si="10"/>
        <v>0</v>
      </c>
      <c r="Q139">
        <f t="shared" si="11"/>
        <v>1</v>
      </c>
      <c r="S139">
        <f t="shared" si="12"/>
        <v>0</v>
      </c>
      <c r="T139" s="4">
        <f t="shared" si="13"/>
        <v>1</v>
      </c>
      <c r="U139">
        <f t="shared" si="14"/>
        <v>0</v>
      </c>
      <c r="X139" s="4"/>
    </row>
    <row r="140" spans="1:24">
      <c r="A140" s="4" t="s">
        <v>56</v>
      </c>
      <c r="B140" s="5">
        <v>45717</v>
      </c>
      <c r="C140" s="4" t="s">
        <v>24</v>
      </c>
      <c r="D140" s="4" t="s">
        <v>16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 s="4">
        <v>1</v>
      </c>
      <c r="L140">
        <v>3.3</v>
      </c>
      <c r="M140" s="4">
        <v>758827.64</v>
      </c>
      <c r="N140" s="4">
        <v>161439.48000000001</v>
      </c>
      <c r="P140">
        <f t="shared" si="10"/>
        <v>0</v>
      </c>
      <c r="Q140">
        <f t="shared" si="11"/>
        <v>1</v>
      </c>
      <c r="S140">
        <f t="shared" si="12"/>
        <v>0</v>
      </c>
      <c r="T140" s="4">
        <f t="shared" si="13"/>
        <v>1</v>
      </c>
      <c r="U140">
        <f t="shared" si="14"/>
        <v>0</v>
      </c>
      <c r="X140" s="4"/>
    </row>
    <row r="141" spans="1:24">
      <c r="A141" s="4" t="s">
        <v>56</v>
      </c>
      <c r="B141" s="5">
        <v>45748</v>
      </c>
      <c r="C141" s="4" t="s">
        <v>24</v>
      </c>
      <c r="D141" s="4" t="s">
        <v>16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 s="4">
        <v>0</v>
      </c>
      <c r="L141">
        <v>3.6</v>
      </c>
      <c r="M141" s="4">
        <v>646559.71</v>
      </c>
      <c r="N141" s="4">
        <v>97981.75</v>
      </c>
      <c r="P141">
        <f t="shared" si="10"/>
        <v>0</v>
      </c>
      <c r="Q141">
        <f t="shared" si="11"/>
        <v>1</v>
      </c>
      <c r="S141">
        <f t="shared" si="12"/>
        <v>0</v>
      </c>
      <c r="T141" s="4">
        <f t="shared" si="13"/>
        <v>1</v>
      </c>
      <c r="U141">
        <f t="shared" si="14"/>
        <v>0</v>
      </c>
      <c r="X141" s="4"/>
    </row>
    <row r="142" spans="1:24">
      <c r="A142" s="4" t="s">
        <v>57</v>
      </c>
      <c r="B142" s="5">
        <v>45658</v>
      </c>
      <c r="C142" s="4" t="s">
        <v>27</v>
      </c>
      <c r="D142" s="4" t="s">
        <v>18</v>
      </c>
      <c r="E142" s="4">
        <v>51430.31</v>
      </c>
      <c r="F142" s="4">
        <v>6427</v>
      </c>
      <c r="G142" s="4">
        <v>0.23400000000000001</v>
      </c>
      <c r="H142" s="4">
        <v>14</v>
      </c>
      <c r="I142" s="4">
        <v>88.8</v>
      </c>
      <c r="J142" s="4">
        <v>0.77</v>
      </c>
      <c r="K142" s="4">
        <v>0</v>
      </c>
      <c r="L142">
        <v>4.0999999999999996</v>
      </c>
      <c r="M142" s="4">
        <v>715890.53</v>
      </c>
      <c r="N142" s="4">
        <v>109032.15</v>
      </c>
      <c r="P142">
        <f t="shared" si="10"/>
        <v>1</v>
      </c>
      <c r="Q142">
        <f t="shared" si="11"/>
        <v>0</v>
      </c>
      <c r="S142">
        <f t="shared" si="12"/>
        <v>0</v>
      </c>
      <c r="T142" s="4">
        <f t="shared" si="13"/>
        <v>0</v>
      </c>
      <c r="U142">
        <f t="shared" si="14"/>
        <v>1</v>
      </c>
      <c r="X142" s="4"/>
    </row>
    <row r="143" spans="1:24">
      <c r="A143" s="4" t="s">
        <v>57</v>
      </c>
      <c r="B143" s="5">
        <v>45689</v>
      </c>
      <c r="C143" s="4" t="s">
        <v>27</v>
      </c>
      <c r="D143" s="4" t="s">
        <v>18</v>
      </c>
      <c r="E143" s="4">
        <v>45706.49</v>
      </c>
      <c r="F143" s="4">
        <v>6704</v>
      </c>
      <c r="G143" s="4">
        <v>3.7999999999999999E-2</v>
      </c>
      <c r="H143" s="4">
        <v>15</v>
      </c>
      <c r="I143" s="4">
        <v>94.2</v>
      </c>
      <c r="J143" s="4">
        <v>2.92</v>
      </c>
      <c r="K143" s="4">
        <v>0</v>
      </c>
      <c r="L143">
        <v>4.2</v>
      </c>
      <c r="M143" s="4">
        <v>715097.57</v>
      </c>
      <c r="N143" s="4">
        <v>151875.85999999999</v>
      </c>
      <c r="P143">
        <f t="shared" si="10"/>
        <v>1</v>
      </c>
      <c r="Q143">
        <f t="shared" si="11"/>
        <v>0</v>
      </c>
      <c r="S143">
        <f t="shared" si="12"/>
        <v>0</v>
      </c>
      <c r="T143" s="4">
        <f t="shared" si="13"/>
        <v>0</v>
      </c>
      <c r="U143">
        <f t="shared" si="14"/>
        <v>1</v>
      </c>
      <c r="X143" s="4"/>
    </row>
    <row r="144" spans="1:24">
      <c r="A144" s="4" t="s">
        <v>57</v>
      </c>
      <c r="B144" s="5">
        <v>45717</v>
      </c>
      <c r="C144" s="4" t="s">
        <v>27</v>
      </c>
      <c r="D144" s="4" t="s">
        <v>18</v>
      </c>
      <c r="E144" s="4">
        <v>44034.6</v>
      </c>
      <c r="F144" s="4">
        <v>5645</v>
      </c>
      <c r="G144" s="4">
        <v>6.9000000000000006E-2</v>
      </c>
      <c r="H144" s="4">
        <v>18</v>
      </c>
      <c r="I144" s="4">
        <v>88.5</v>
      </c>
      <c r="J144" s="4">
        <v>3.07</v>
      </c>
      <c r="K144" s="4">
        <v>0</v>
      </c>
      <c r="L144">
        <v>3.8</v>
      </c>
      <c r="M144" s="4">
        <v>682639.28</v>
      </c>
      <c r="N144" s="4">
        <v>77557.53</v>
      </c>
      <c r="P144">
        <f t="shared" si="10"/>
        <v>1</v>
      </c>
      <c r="Q144">
        <f t="shared" si="11"/>
        <v>0</v>
      </c>
      <c r="S144">
        <f t="shared" si="12"/>
        <v>0</v>
      </c>
      <c r="T144" s="4">
        <f t="shared" si="13"/>
        <v>0</v>
      </c>
      <c r="U144">
        <f t="shared" si="14"/>
        <v>1</v>
      </c>
      <c r="X144" s="4"/>
    </row>
    <row r="145" spans="1:24">
      <c r="A145" s="4" t="s">
        <v>57</v>
      </c>
      <c r="B145" s="5">
        <v>45748</v>
      </c>
      <c r="C145" s="4" t="s">
        <v>27</v>
      </c>
      <c r="D145" s="4" t="s">
        <v>18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9.6999999999999993</v>
      </c>
      <c r="K145" s="4">
        <v>0</v>
      </c>
      <c r="L145">
        <v>3.9</v>
      </c>
      <c r="M145" s="4">
        <v>695098.51</v>
      </c>
      <c r="N145" s="4">
        <v>108192.75</v>
      </c>
      <c r="P145">
        <f t="shared" si="10"/>
        <v>1</v>
      </c>
      <c r="Q145">
        <f t="shared" si="11"/>
        <v>0</v>
      </c>
      <c r="S145">
        <f t="shared" si="12"/>
        <v>0</v>
      </c>
      <c r="T145" s="4">
        <f t="shared" si="13"/>
        <v>0</v>
      </c>
      <c r="U145">
        <f t="shared" si="14"/>
        <v>1</v>
      </c>
      <c r="X145" s="4"/>
    </row>
    <row r="146" spans="1:24">
      <c r="A146" s="4" t="s">
        <v>58</v>
      </c>
      <c r="B146" s="5">
        <v>45658</v>
      </c>
      <c r="C146" s="4" t="s">
        <v>20</v>
      </c>
      <c r="D146" s="4" t="s">
        <v>16</v>
      </c>
      <c r="E146" s="4">
        <v>70488.2</v>
      </c>
      <c r="F146" s="4">
        <v>4312</v>
      </c>
      <c r="G146" s="4">
        <v>0.16900000000000001</v>
      </c>
      <c r="H146" s="4">
        <v>12</v>
      </c>
      <c r="I146" s="4">
        <v>90.2</v>
      </c>
      <c r="J146" s="4">
        <v>3.71</v>
      </c>
      <c r="K146" s="4">
        <v>0</v>
      </c>
      <c r="L146">
        <v>3.2</v>
      </c>
      <c r="M146" s="4">
        <v>577732.56999999995</v>
      </c>
      <c r="N146" s="4">
        <v>93804.27</v>
      </c>
      <c r="P146">
        <f t="shared" si="10"/>
        <v>0</v>
      </c>
      <c r="Q146">
        <f t="shared" si="11"/>
        <v>1</v>
      </c>
      <c r="S146">
        <f t="shared" si="12"/>
        <v>1</v>
      </c>
      <c r="T146" s="4">
        <f t="shared" si="13"/>
        <v>0</v>
      </c>
      <c r="U146">
        <f t="shared" si="14"/>
        <v>0</v>
      </c>
      <c r="X146" s="4"/>
    </row>
    <row r="147" spans="1:24">
      <c r="A147" s="4" t="s">
        <v>58</v>
      </c>
      <c r="B147" s="5">
        <v>45689</v>
      </c>
      <c r="C147" s="4" t="s">
        <v>20</v>
      </c>
      <c r="D147" s="4" t="s">
        <v>16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 s="4">
        <v>0</v>
      </c>
      <c r="L147">
        <v>3.5</v>
      </c>
      <c r="M147" s="4">
        <v>537058.32999999996</v>
      </c>
      <c r="N147" s="4">
        <v>93555.71</v>
      </c>
      <c r="P147">
        <f t="shared" si="10"/>
        <v>0</v>
      </c>
      <c r="Q147">
        <f t="shared" si="11"/>
        <v>1</v>
      </c>
      <c r="S147">
        <f t="shared" si="12"/>
        <v>1</v>
      </c>
      <c r="T147" s="4">
        <f t="shared" si="13"/>
        <v>0</v>
      </c>
      <c r="U147">
        <f t="shared" si="14"/>
        <v>0</v>
      </c>
      <c r="X147" s="4"/>
    </row>
    <row r="148" spans="1:24">
      <c r="A148" s="4" t="s">
        <v>58</v>
      </c>
      <c r="B148" s="5">
        <v>45717</v>
      </c>
      <c r="C148" s="4" t="s">
        <v>20</v>
      </c>
      <c r="D148" s="4" t="s">
        <v>16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 s="4">
        <v>0</v>
      </c>
      <c r="L148">
        <v>3.4</v>
      </c>
      <c r="M148" s="4">
        <v>601568.87</v>
      </c>
      <c r="N148" s="4">
        <v>91634.82</v>
      </c>
      <c r="P148">
        <f t="shared" si="10"/>
        <v>0</v>
      </c>
      <c r="Q148">
        <f t="shared" si="11"/>
        <v>1</v>
      </c>
      <c r="S148">
        <f t="shared" si="12"/>
        <v>1</v>
      </c>
      <c r="T148" s="4">
        <f t="shared" si="13"/>
        <v>0</v>
      </c>
      <c r="U148">
        <f t="shared" si="14"/>
        <v>0</v>
      </c>
      <c r="X148" s="4"/>
    </row>
    <row r="149" spans="1:24">
      <c r="A149" s="4" t="s">
        <v>58</v>
      </c>
      <c r="B149" s="5">
        <v>45748</v>
      </c>
      <c r="C149" s="4" t="s">
        <v>20</v>
      </c>
      <c r="D149" s="4" t="s">
        <v>16</v>
      </c>
      <c r="E149" s="4">
        <v>60322.400000000001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 s="4">
        <v>0</v>
      </c>
      <c r="L149">
        <v>3.4</v>
      </c>
      <c r="M149" s="4">
        <v>570964.84</v>
      </c>
      <c r="N149" s="4">
        <v>81331.070000000007</v>
      </c>
      <c r="P149">
        <f t="shared" si="10"/>
        <v>0</v>
      </c>
      <c r="Q149">
        <f t="shared" si="11"/>
        <v>1</v>
      </c>
      <c r="S149">
        <f t="shared" si="12"/>
        <v>1</v>
      </c>
      <c r="T149" s="4">
        <f t="shared" si="13"/>
        <v>0</v>
      </c>
      <c r="U149">
        <f t="shared" si="14"/>
        <v>0</v>
      </c>
      <c r="X149" s="4"/>
    </row>
    <row r="150" spans="1:24">
      <c r="A150" s="4" t="s">
        <v>59</v>
      </c>
      <c r="B150" s="5">
        <v>45658</v>
      </c>
      <c r="C150" s="4" t="s">
        <v>24</v>
      </c>
      <c r="D150" s="4" t="s">
        <v>28</v>
      </c>
      <c r="E150" s="4">
        <v>51575.68</v>
      </c>
      <c r="F150" s="4">
        <v>5329</v>
      </c>
      <c r="G150" s="4">
        <v>4.7E-2</v>
      </c>
      <c r="H150" s="4">
        <v>17</v>
      </c>
      <c r="I150" s="4">
        <v>88.1</v>
      </c>
      <c r="J150" s="4">
        <v>19.78</v>
      </c>
      <c r="K150" s="4">
        <v>0</v>
      </c>
      <c r="L150">
        <v>3.8</v>
      </c>
      <c r="M150" s="4">
        <v>614024.91</v>
      </c>
      <c r="N150" s="4">
        <v>84828.93</v>
      </c>
      <c r="P150">
        <f t="shared" si="10"/>
        <v>0</v>
      </c>
      <c r="Q150">
        <f t="shared" si="11"/>
        <v>0</v>
      </c>
      <c r="S150">
        <f t="shared" si="12"/>
        <v>0</v>
      </c>
      <c r="T150" s="4">
        <f t="shared" si="13"/>
        <v>1</v>
      </c>
      <c r="U150">
        <f t="shared" si="14"/>
        <v>0</v>
      </c>
      <c r="X150" s="4"/>
    </row>
    <row r="151" spans="1:24">
      <c r="A151" s="4" t="s">
        <v>59</v>
      </c>
      <c r="B151" s="5">
        <v>45689</v>
      </c>
      <c r="C151" s="4" t="s">
        <v>24</v>
      </c>
      <c r="D151" s="4" t="s">
        <v>28</v>
      </c>
      <c r="E151" s="4">
        <v>43319.94</v>
      </c>
      <c r="F151" s="4">
        <v>6551</v>
      </c>
      <c r="G151" s="4">
        <v>4.3999999999999997E-2</v>
      </c>
      <c r="H151" s="4">
        <v>13</v>
      </c>
      <c r="I151" s="4">
        <v>99</v>
      </c>
      <c r="J151" s="4">
        <v>5.45</v>
      </c>
      <c r="K151" s="4">
        <v>0</v>
      </c>
      <c r="L151">
        <v>4.0999999999999996</v>
      </c>
      <c r="M151" s="4">
        <v>712868.35</v>
      </c>
      <c r="N151" s="4">
        <v>133650.51</v>
      </c>
      <c r="P151">
        <f t="shared" si="10"/>
        <v>0</v>
      </c>
      <c r="Q151">
        <f t="shared" si="11"/>
        <v>0</v>
      </c>
      <c r="S151">
        <f t="shared" si="12"/>
        <v>0</v>
      </c>
      <c r="T151" s="4">
        <f t="shared" si="13"/>
        <v>1</v>
      </c>
      <c r="U151">
        <f t="shared" si="14"/>
        <v>0</v>
      </c>
      <c r="X151" s="4"/>
    </row>
    <row r="152" spans="1:24">
      <c r="A152" s="4" t="s">
        <v>59</v>
      </c>
      <c r="B152" s="5">
        <v>45717</v>
      </c>
      <c r="C152" s="4" t="s">
        <v>24</v>
      </c>
      <c r="D152" s="4" t="s">
        <v>28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 s="4">
        <v>1</v>
      </c>
      <c r="L152">
        <v>3.7</v>
      </c>
      <c r="M152" s="4">
        <v>696744.15</v>
      </c>
      <c r="N152" s="4">
        <v>152230.09</v>
      </c>
      <c r="P152">
        <f t="shared" si="10"/>
        <v>0</v>
      </c>
      <c r="Q152">
        <f t="shared" si="11"/>
        <v>0</v>
      </c>
      <c r="S152">
        <f t="shared" si="12"/>
        <v>0</v>
      </c>
      <c r="T152" s="4">
        <f t="shared" si="13"/>
        <v>1</v>
      </c>
      <c r="U152">
        <f t="shared" si="14"/>
        <v>0</v>
      </c>
      <c r="X152" s="4"/>
    </row>
    <row r="153" spans="1:24">
      <c r="A153" s="4" t="s">
        <v>59</v>
      </c>
      <c r="B153" s="5">
        <v>45748</v>
      </c>
      <c r="C153" s="4" t="s">
        <v>24</v>
      </c>
      <c r="D153" s="4" t="s">
        <v>28</v>
      </c>
      <c r="E153" s="4">
        <v>71855.09</v>
      </c>
      <c r="F153" s="4">
        <v>5911</v>
      </c>
      <c r="G153" s="4">
        <v>0.19700000000000001</v>
      </c>
      <c r="H153" s="4">
        <v>15</v>
      </c>
      <c r="I153" s="4">
        <v>94.3</v>
      </c>
      <c r="J153" s="4">
        <v>3.55</v>
      </c>
      <c r="K153" s="4">
        <v>0</v>
      </c>
      <c r="L153">
        <v>4.0999999999999996</v>
      </c>
      <c r="M153" s="4">
        <v>725847.99</v>
      </c>
      <c r="N153" s="4">
        <v>122698.73</v>
      </c>
      <c r="P153">
        <f t="shared" si="10"/>
        <v>0</v>
      </c>
      <c r="Q153">
        <f t="shared" si="11"/>
        <v>0</v>
      </c>
      <c r="S153">
        <f t="shared" si="12"/>
        <v>0</v>
      </c>
      <c r="T153" s="4">
        <f t="shared" si="13"/>
        <v>1</v>
      </c>
      <c r="U153">
        <f t="shared" si="14"/>
        <v>0</v>
      </c>
      <c r="X153" s="4"/>
    </row>
    <row r="154" spans="1:24">
      <c r="A154" s="4" t="s">
        <v>60</v>
      </c>
      <c r="B154" s="5">
        <v>45658</v>
      </c>
      <c r="C154" s="4" t="s">
        <v>15</v>
      </c>
      <c r="D154" s="4" t="s">
        <v>18</v>
      </c>
      <c r="E154" s="4">
        <v>75645.23</v>
      </c>
      <c r="F154" s="4">
        <v>9674</v>
      </c>
      <c r="G154" s="4">
        <v>0.23400000000000001</v>
      </c>
      <c r="H154" s="4">
        <v>21</v>
      </c>
      <c r="I154" s="4">
        <v>87.4</v>
      </c>
      <c r="J154" s="4">
        <v>0.2</v>
      </c>
      <c r="K154" s="4">
        <v>0</v>
      </c>
      <c r="L154">
        <v>4.5</v>
      </c>
      <c r="M154" s="4">
        <v>785028.25</v>
      </c>
      <c r="N154" s="4">
        <v>110726.44</v>
      </c>
      <c r="P154">
        <f t="shared" si="10"/>
        <v>1</v>
      </c>
      <c r="Q154">
        <f t="shared" si="11"/>
        <v>0</v>
      </c>
      <c r="S154">
        <f t="shared" si="12"/>
        <v>0</v>
      </c>
      <c r="T154" s="4">
        <f t="shared" si="13"/>
        <v>0</v>
      </c>
      <c r="U154">
        <f t="shared" si="14"/>
        <v>0</v>
      </c>
      <c r="X154" s="4"/>
    </row>
    <row r="155" spans="1:24">
      <c r="A155" s="4" t="s">
        <v>60</v>
      </c>
      <c r="B155" s="5">
        <v>45689</v>
      </c>
      <c r="C155" s="4" t="s">
        <v>15</v>
      </c>
      <c r="D155" s="4" t="s">
        <v>18</v>
      </c>
      <c r="E155" s="4">
        <v>64374.75</v>
      </c>
      <c r="F155" s="4">
        <v>6740</v>
      </c>
      <c r="G155" s="4">
        <v>0.16900000000000001</v>
      </c>
      <c r="H155" s="4">
        <v>18</v>
      </c>
      <c r="I155" s="4">
        <v>87</v>
      </c>
      <c r="J155" s="4">
        <v>2.09</v>
      </c>
      <c r="K155" s="4">
        <v>0</v>
      </c>
      <c r="L155">
        <v>4.2</v>
      </c>
      <c r="M155" s="4">
        <v>698492.67</v>
      </c>
      <c r="N155" s="4">
        <v>117319.32</v>
      </c>
      <c r="P155">
        <f t="shared" si="10"/>
        <v>1</v>
      </c>
      <c r="Q155">
        <f t="shared" si="11"/>
        <v>0</v>
      </c>
      <c r="S155">
        <f t="shared" si="12"/>
        <v>0</v>
      </c>
      <c r="T155" s="4">
        <f t="shared" si="13"/>
        <v>0</v>
      </c>
      <c r="U155">
        <f t="shared" si="14"/>
        <v>0</v>
      </c>
      <c r="X155" s="4"/>
    </row>
    <row r="156" spans="1:24">
      <c r="A156" s="4" t="s">
        <v>60</v>
      </c>
      <c r="B156" s="5">
        <v>45717</v>
      </c>
      <c r="C156" s="4" t="s">
        <v>15</v>
      </c>
      <c r="D156" s="4" t="s">
        <v>18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2.2599999999999998</v>
      </c>
      <c r="K156" s="4">
        <v>0</v>
      </c>
      <c r="L156">
        <v>4.2</v>
      </c>
      <c r="M156" s="4">
        <v>685830.24</v>
      </c>
      <c r="N156" s="4">
        <v>128736.18</v>
      </c>
      <c r="P156">
        <f t="shared" si="10"/>
        <v>1</v>
      </c>
      <c r="Q156">
        <f t="shared" si="11"/>
        <v>0</v>
      </c>
      <c r="S156">
        <f t="shared" si="12"/>
        <v>0</v>
      </c>
      <c r="T156" s="4">
        <f t="shared" si="13"/>
        <v>0</v>
      </c>
      <c r="U156">
        <f t="shared" si="14"/>
        <v>0</v>
      </c>
      <c r="X156" s="4"/>
    </row>
    <row r="157" spans="1:24">
      <c r="A157" s="4" t="s">
        <v>60</v>
      </c>
      <c r="B157" s="5">
        <v>45748</v>
      </c>
      <c r="C157" s="4" t="s">
        <v>15</v>
      </c>
      <c r="D157" s="4" t="s">
        <v>18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 s="4">
        <v>0</v>
      </c>
      <c r="L157">
        <v>4.4000000000000004</v>
      </c>
      <c r="M157" s="4">
        <v>702318.94</v>
      </c>
      <c r="N157" s="4">
        <v>112829.29</v>
      </c>
      <c r="P157">
        <f t="shared" si="10"/>
        <v>1</v>
      </c>
      <c r="Q157">
        <f t="shared" si="11"/>
        <v>0</v>
      </c>
      <c r="S157">
        <f t="shared" si="12"/>
        <v>0</v>
      </c>
      <c r="T157" s="4">
        <f t="shared" si="13"/>
        <v>0</v>
      </c>
      <c r="U157">
        <f t="shared" si="14"/>
        <v>0</v>
      </c>
      <c r="X157" s="4"/>
    </row>
    <row r="158" spans="1:24">
      <c r="A158" s="4" t="s">
        <v>61</v>
      </c>
      <c r="B158" s="5">
        <v>45658</v>
      </c>
      <c r="C158" s="4" t="s">
        <v>20</v>
      </c>
      <c r="D158" s="4" t="s">
        <v>28</v>
      </c>
      <c r="E158" s="4">
        <v>86883.31</v>
      </c>
      <c r="F158" s="4">
        <v>6424</v>
      </c>
      <c r="G158" s="4">
        <v>5.7000000000000002E-2</v>
      </c>
      <c r="H158" s="4">
        <v>19</v>
      </c>
      <c r="I158" s="4">
        <v>85.2</v>
      </c>
      <c r="J158" s="4">
        <v>3.08</v>
      </c>
      <c r="K158" s="4">
        <v>0</v>
      </c>
      <c r="L158">
        <v>3.9</v>
      </c>
      <c r="M158" s="4">
        <v>700078.32</v>
      </c>
      <c r="N158" s="4">
        <v>123707.58</v>
      </c>
      <c r="P158">
        <f t="shared" si="10"/>
        <v>0</v>
      </c>
      <c r="Q158">
        <f t="shared" si="11"/>
        <v>0</v>
      </c>
      <c r="S158">
        <f t="shared" si="12"/>
        <v>1</v>
      </c>
      <c r="T158" s="4">
        <f t="shared" si="13"/>
        <v>0</v>
      </c>
      <c r="U158">
        <f t="shared" si="14"/>
        <v>0</v>
      </c>
      <c r="X158" s="4"/>
    </row>
    <row r="159" spans="1:24">
      <c r="A159" s="4" t="s">
        <v>61</v>
      </c>
      <c r="B159" s="5">
        <v>45689</v>
      </c>
      <c r="C159" s="4" t="s">
        <v>20</v>
      </c>
      <c r="D159" s="4" t="s">
        <v>28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 s="4">
        <v>0</v>
      </c>
      <c r="L159">
        <v>3</v>
      </c>
      <c r="M159" s="4">
        <v>602002.31999999995</v>
      </c>
      <c r="N159" s="4">
        <v>110453.28</v>
      </c>
      <c r="P159">
        <f t="shared" si="10"/>
        <v>0</v>
      </c>
      <c r="Q159">
        <f t="shared" si="11"/>
        <v>0</v>
      </c>
      <c r="S159">
        <f t="shared" si="12"/>
        <v>1</v>
      </c>
      <c r="T159" s="4">
        <f t="shared" si="13"/>
        <v>0</v>
      </c>
      <c r="U159">
        <f t="shared" si="14"/>
        <v>0</v>
      </c>
      <c r="X159" s="4"/>
    </row>
    <row r="160" spans="1:24">
      <c r="A160" s="4" t="s">
        <v>61</v>
      </c>
      <c r="B160" s="5">
        <v>45717</v>
      </c>
      <c r="C160" s="4" t="s">
        <v>20</v>
      </c>
      <c r="D160" s="4" t="s">
        <v>28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 s="4">
        <v>0</v>
      </c>
      <c r="L160">
        <v>3.4</v>
      </c>
      <c r="M160" s="4">
        <v>724216.07</v>
      </c>
      <c r="N160" s="4">
        <v>100627.56</v>
      </c>
      <c r="P160">
        <f t="shared" si="10"/>
        <v>0</v>
      </c>
      <c r="Q160">
        <f t="shared" si="11"/>
        <v>0</v>
      </c>
      <c r="S160">
        <f t="shared" si="12"/>
        <v>1</v>
      </c>
      <c r="T160" s="4">
        <f t="shared" si="13"/>
        <v>0</v>
      </c>
      <c r="U160">
        <f t="shared" si="14"/>
        <v>0</v>
      </c>
      <c r="X160" s="4"/>
    </row>
    <row r="161" spans="1:24">
      <c r="A161" s="4" t="s">
        <v>61</v>
      </c>
      <c r="B161" s="5">
        <v>45748</v>
      </c>
      <c r="C161" s="4" t="s">
        <v>20</v>
      </c>
      <c r="D161" s="4" t="s">
        <v>28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 s="4">
        <v>0</v>
      </c>
      <c r="L161">
        <v>3.3</v>
      </c>
      <c r="M161" s="4">
        <v>620973.03</v>
      </c>
      <c r="N161" s="4">
        <v>72303.850000000006</v>
      </c>
      <c r="P161">
        <f t="shared" si="10"/>
        <v>0</v>
      </c>
      <c r="Q161">
        <f t="shared" si="11"/>
        <v>0</v>
      </c>
      <c r="S161">
        <f t="shared" si="12"/>
        <v>1</v>
      </c>
      <c r="T161" s="4">
        <f t="shared" si="13"/>
        <v>0</v>
      </c>
      <c r="U161">
        <f t="shared" si="14"/>
        <v>0</v>
      </c>
      <c r="X161" s="4"/>
    </row>
    <row r="162" spans="1:24">
      <c r="A162" s="4" t="s">
        <v>62</v>
      </c>
      <c r="B162" s="5">
        <v>45658</v>
      </c>
      <c r="C162" s="4" t="s">
        <v>24</v>
      </c>
      <c r="D162" s="4" t="s">
        <v>18</v>
      </c>
      <c r="E162" s="4">
        <v>41443.410000000003</v>
      </c>
      <c r="F162" s="4">
        <v>7455</v>
      </c>
      <c r="G162" s="4">
        <v>0.17499999999999999</v>
      </c>
      <c r="H162" s="4">
        <v>16</v>
      </c>
      <c r="I162" s="4">
        <v>90.1</v>
      </c>
      <c r="J162" s="4">
        <v>4.05</v>
      </c>
      <c r="K162" s="4">
        <v>0</v>
      </c>
      <c r="L162">
        <v>4</v>
      </c>
      <c r="M162" s="4">
        <v>650480.06000000006</v>
      </c>
      <c r="N162" s="4">
        <v>109012.07</v>
      </c>
      <c r="P162">
        <f t="shared" si="10"/>
        <v>1</v>
      </c>
      <c r="Q162">
        <f t="shared" si="11"/>
        <v>0</v>
      </c>
      <c r="S162">
        <f t="shared" si="12"/>
        <v>0</v>
      </c>
      <c r="T162" s="4">
        <f t="shared" si="13"/>
        <v>1</v>
      </c>
      <c r="U162">
        <f t="shared" si="14"/>
        <v>0</v>
      </c>
      <c r="X162" s="4"/>
    </row>
    <row r="163" spans="1:24">
      <c r="A163" s="4" t="s">
        <v>62</v>
      </c>
      <c r="B163" s="5">
        <v>45689</v>
      </c>
      <c r="C163" s="4" t="s">
        <v>24</v>
      </c>
      <c r="D163" s="4" t="s">
        <v>18</v>
      </c>
      <c r="E163" s="4">
        <v>48438.85</v>
      </c>
      <c r="F163" s="4">
        <v>6992</v>
      </c>
      <c r="G163" s="4">
        <v>3.4000000000000002E-2</v>
      </c>
      <c r="H163" s="4">
        <v>20</v>
      </c>
      <c r="I163" s="4">
        <v>91</v>
      </c>
      <c r="J163" s="4">
        <v>4.3600000000000003</v>
      </c>
      <c r="K163" s="4">
        <v>0</v>
      </c>
      <c r="L163">
        <v>4.2</v>
      </c>
      <c r="M163" s="4">
        <v>778298.88</v>
      </c>
      <c r="N163" s="4">
        <v>130076.72</v>
      </c>
      <c r="P163">
        <f t="shared" si="10"/>
        <v>1</v>
      </c>
      <c r="Q163">
        <f t="shared" si="11"/>
        <v>0</v>
      </c>
      <c r="S163">
        <f t="shared" si="12"/>
        <v>0</v>
      </c>
      <c r="T163" s="4">
        <f t="shared" si="13"/>
        <v>1</v>
      </c>
      <c r="U163">
        <f t="shared" si="14"/>
        <v>0</v>
      </c>
      <c r="X163" s="4"/>
    </row>
    <row r="164" spans="1:24">
      <c r="A164" s="4" t="s">
        <v>62</v>
      </c>
      <c r="B164" s="5">
        <v>45717</v>
      </c>
      <c r="C164" s="4" t="s">
        <v>24</v>
      </c>
      <c r="D164" s="4" t="s">
        <v>18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72.599999999999994</v>
      </c>
      <c r="J164" s="4">
        <v>4.5590445859872624</v>
      </c>
      <c r="K164" s="4">
        <v>0</v>
      </c>
      <c r="L164">
        <v>4.2</v>
      </c>
      <c r="M164" s="4">
        <v>677096.71</v>
      </c>
      <c r="N164" s="4">
        <v>97174.11</v>
      </c>
      <c r="P164">
        <f t="shared" si="10"/>
        <v>1</v>
      </c>
      <c r="Q164">
        <f t="shared" si="11"/>
        <v>0</v>
      </c>
      <c r="S164">
        <f t="shared" si="12"/>
        <v>0</v>
      </c>
      <c r="T164" s="4">
        <f t="shared" si="13"/>
        <v>1</v>
      </c>
      <c r="U164">
        <f t="shared" si="14"/>
        <v>0</v>
      </c>
      <c r="X164" s="4"/>
    </row>
    <row r="165" spans="1:24">
      <c r="A165" s="4" t="s">
        <v>62</v>
      </c>
      <c r="B165" s="5">
        <v>45748</v>
      </c>
      <c r="C165" s="4" t="s">
        <v>24</v>
      </c>
      <c r="D165" s="4" t="s">
        <v>18</v>
      </c>
      <c r="E165" s="4">
        <v>66870.62</v>
      </c>
      <c r="F165" s="4">
        <v>6055</v>
      </c>
      <c r="G165" s="4">
        <v>7.4999999999999997E-2</v>
      </c>
      <c r="H165" s="4">
        <v>19</v>
      </c>
      <c r="I165" s="4">
        <v>93.8</v>
      </c>
      <c r="J165" s="4">
        <v>0.54</v>
      </c>
      <c r="K165" s="4">
        <v>0</v>
      </c>
      <c r="L165">
        <v>4.3</v>
      </c>
      <c r="M165" s="4">
        <v>692008.64</v>
      </c>
      <c r="N165" s="4">
        <v>116337.87</v>
      </c>
      <c r="P165">
        <f t="shared" si="10"/>
        <v>1</v>
      </c>
      <c r="Q165">
        <f t="shared" si="11"/>
        <v>0</v>
      </c>
      <c r="S165">
        <f t="shared" si="12"/>
        <v>0</v>
      </c>
      <c r="T165" s="4">
        <f t="shared" si="13"/>
        <v>1</v>
      </c>
      <c r="U165">
        <f t="shared" si="14"/>
        <v>0</v>
      </c>
      <c r="X165" s="4"/>
    </row>
    <row r="166" spans="1:24">
      <c r="A166" s="4" t="s">
        <v>63</v>
      </c>
      <c r="B166" s="5">
        <v>45658</v>
      </c>
      <c r="C166" s="4" t="s">
        <v>20</v>
      </c>
      <c r="D166" s="4" t="s">
        <v>28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 s="4">
        <v>1</v>
      </c>
      <c r="L166">
        <v>4.3</v>
      </c>
      <c r="M166" s="4">
        <v>825797.91</v>
      </c>
      <c r="N166" s="4">
        <v>130945.24</v>
      </c>
      <c r="P166">
        <f t="shared" si="10"/>
        <v>0</v>
      </c>
      <c r="Q166">
        <f t="shared" si="11"/>
        <v>0</v>
      </c>
      <c r="S166">
        <f t="shared" si="12"/>
        <v>1</v>
      </c>
      <c r="T166" s="4">
        <f t="shared" si="13"/>
        <v>0</v>
      </c>
      <c r="U166">
        <f t="shared" si="14"/>
        <v>0</v>
      </c>
      <c r="X166" s="4"/>
    </row>
    <row r="167" spans="1:24">
      <c r="A167" s="4" t="s">
        <v>63</v>
      </c>
      <c r="B167" s="5">
        <v>45689</v>
      </c>
      <c r="C167" s="4" t="s">
        <v>20</v>
      </c>
      <c r="D167" s="4" t="s">
        <v>28</v>
      </c>
      <c r="E167" s="4">
        <v>35303.300000000003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 s="4">
        <v>0</v>
      </c>
      <c r="L167">
        <v>4.2</v>
      </c>
      <c r="M167" s="4">
        <v>706285.52</v>
      </c>
      <c r="N167" s="4">
        <v>138014.72</v>
      </c>
      <c r="P167">
        <f t="shared" si="10"/>
        <v>0</v>
      </c>
      <c r="Q167">
        <f t="shared" si="11"/>
        <v>0</v>
      </c>
      <c r="S167">
        <f t="shared" si="12"/>
        <v>1</v>
      </c>
      <c r="T167" s="4">
        <f t="shared" si="13"/>
        <v>0</v>
      </c>
      <c r="U167">
        <f t="shared" si="14"/>
        <v>0</v>
      </c>
      <c r="X167" s="4"/>
    </row>
    <row r="168" spans="1:24">
      <c r="A168" s="4" t="s">
        <v>63</v>
      </c>
      <c r="B168" s="5">
        <v>45717</v>
      </c>
      <c r="C168" s="4" t="s">
        <v>20</v>
      </c>
      <c r="D168" s="4" t="s">
        <v>28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 s="4">
        <v>0</v>
      </c>
      <c r="L168">
        <v>4</v>
      </c>
      <c r="M168" s="4">
        <v>665534.69999999995</v>
      </c>
      <c r="N168" s="4">
        <v>113167.73</v>
      </c>
      <c r="P168">
        <f t="shared" si="10"/>
        <v>0</v>
      </c>
      <c r="Q168">
        <f t="shared" si="11"/>
        <v>0</v>
      </c>
      <c r="S168">
        <f t="shared" si="12"/>
        <v>1</v>
      </c>
      <c r="T168" s="4">
        <f t="shared" si="13"/>
        <v>0</v>
      </c>
      <c r="U168">
        <f t="shared" si="14"/>
        <v>0</v>
      </c>
      <c r="X168" s="4"/>
    </row>
    <row r="169" spans="1:24">
      <c r="A169" s="4" t="s">
        <v>63</v>
      </c>
      <c r="B169" s="5">
        <v>45748</v>
      </c>
      <c r="C169" s="4" t="s">
        <v>20</v>
      </c>
      <c r="D169" s="4" t="s">
        <v>28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 s="4">
        <v>0</v>
      </c>
      <c r="L169">
        <v>4.0999999999999996</v>
      </c>
      <c r="M169" s="4">
        <v>820729.29</v>
      </c>
      <c r="N169" s="4">
        <v>159325.47</v>
      </c>
      <c r="P169">
        <f t="shared" si="10"/>
        <v>0</v>
      </c>
      <c r="Q169">
        <f t="shared" si="11"/>
        <v>0</v>
      </c>
      <c r="S169">
        <f t="shared" si="12"/>
        <v>1</v>
      </c>
      <c r="T169" s="4">
        <f t="shared" si="13"/>
        <v>0</v>
      </c>
      <c r="U169">
        <f t="shared" si="14"/>
        <v>0</v>
      </c>
      <c r="X169" s="4"/>
    </row>
    <row r="170" spans="1:24">
      <c r="A170" s="4" t="s">
        <v>64</v>
      </c>
      <c r="B170" s="5">
        <v>45658</v>
      </c>
      <c r="C170" s="4" t="s">
        <v>15</v>
      </c>
      <c r="D170" s="4" t="s">
        <v>16</v>
      </c>
      <c r="E170" s="4">
        <v>62059.18</v>
      </c>
      <c r="F170" s="4">
        <v>9374</v>
      </c>
      <c r="G170" s="4">
        <v>0.13600000000000001</v>
      </c>
      <c r="H170" s="4">
        <v>25</v>
      </c>
      <c r="I170" s="4">
        <v>87.1</v>
      </c>
      <c r="J170" s="4">
        <v>12.55</v>
      </c>
      <c r="K170" s="4">
        <v>0</v>
      </c>
      <c r="L170">
        <v>4.9000000000000004</v>
      </c>
      <c r="M170" s="4">
        <v>739831.73</v>
      </c>
      <c r="N170" s="4">
        <v>119490.21</v>
      </c>
      <c r="P170">
        <f t="shared" si="10"/>
        <v>0</v>
      </c>
      <c r="Q170">
        <f t="shared" si="11"/>
        <v>1</v>
      </c>
      <c r="S170">
        <f t="shared" si="12"/>
        <v>0</v>
      </c>
      <c r="T170" s="4">
        <f t="shared" si="13"/>
        <v>0</v>
      </c>
      <c r="U170">
        <f t="shared" si="14"/>
        <v>0</v>
      </c>
      <c r="X170" s="4"/>
    </row>
    <row r="171" spans="1:24">
      <c r="A171" s="4" t="s">
        <v>64</v>
      </c>
      <c r="B171" s="5">
        <v>45689</v>
      </c>
      <c r="C171" s="4" t="s">
        <v>15</v>
      </c>
      <c r="D171" s="4" t="s">
        <v>16</v>
      </c>
      <c r="E171" s="4">
        <v>32834.480000000003</v>
      </c>
      <c r="F171" s="4">
        <v>7576</v>
      </c>
      <c r="G171" s="4">
        <v>9.9000000000000005E-2</v>
      </c>
      <c r="H171" s="4">
        <v>15</v>
      </c>
      <c r="I171" s="4">
        <v>84.1</v>
      </c>
      <c r="J171" s="4">
        <v>3.48</v>
      </c>
      <c r="K171" s="4">
        <v>0</v>
      </c>
      <c r="L171">
        <v>5</v>
      </c>
      <c r="M171" s="4">
        <v>593637.14</v>
      </c>
      <c r="N171" s="4">
        <v>106648.14</v>
      </c>
      <c r="P171">
        <f t="shared" si="10"/>
        <v>0</v>
      </c>
      <c r="Q171">
        <f t="shared" si="11"/>
        <v>1</v>
      </c>
      <c r="S171">
        <f t="shared" si="12"/>
        <v>0</v>
      </c>
      <c r="T171" s="4">
        <f t="shared" si="13"/>
        <v>0</v>
      </c>
      <c r="U171">
        <f t="shared" si="14"/>
        <v>0</v>
      </c>
      <c r="X171" s="4"/>
    </row>
    <row r="172" spans="1:24">
      <c r="A172" s="4" t="s">
        <v>64</v>
      </c>
      <c r="B172" s="5">
        <v>45717</v>
      </c>
      <c r="C172" s="4" t="s">
        <v>15</v>
      </c>
      <c r="D172" s="4" t="s">
        <v>16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 s="4">
        <v>0</v>
      </c>
      <c r="L172">
        <v>4.9000000000000004</v>
      </c>
      <c r="M172" s="4">
        <v>769702.76</v>
      </c>
      <c r="N172" s="4">
        <v>158697</v>
      </c>
      <c r="P172">
        <f t="shared" si="10"/>
        <v>0</v>
      </c>
      <c r="Q172">
        <f t="shared" si="11"/>
        <v>1</v>
      </c>
      <c r="S172">
        <f t="shared" si="12"/>
        <v>0</v>
      </c>
      <c r="T172" s="4">
        <f t="shared" si="13"/>
        <v>0</v>
      </c>
      <c r="U172">
        <f t="shared" si="14"/>
        <v>0</v>
      </c>
      <c r="X172" s="4"/>
    </row>
    <row r="173" spans="1:24">
      <c r="A173" s="4" t="s">
        <v>64</v>
      </c>
      <c r="B173" s="5">
        <v>45748</v>
      </c>
      <c r="C173" s="4" t="s">
        <v>15</v>
      </c>
      <c r="D173" s="4" t="s">
        <v>16</v>
      </c>
      <c r="E173" s="4">
        <v>36606.51</v>
      </c>
      <c r="F173" s="4">
        <v>7671</v>
      </c>
      <c r="G173" s="4">
        <v>0.11799999999999999</v>
      </c>
      <c r="H173" s="4">
        <v>18</v>
      </c>
      <c r="I173" s="4">
        <v>89.8</v>
      </c>
      <c r="J173" s="4">
        <v>0.25</v>
      </c>
      <c r="K173" s="4">
        <v>0</v>
      </c>
      <c r="L173">
        <v>4.4000000000000004</v>
      </c>
      <c r="M173" s="4">
        <v>679731.57</v>
      </c>
      <c r="N173" s="4">
        <v>121546.42</v>
      </c>
      <c r="P173">
        <f t="shared" si="10"/>
        <v>0</v>
      </c>
      <c r="Q173">
        <f t="shared" si="11"/>
        <v>1</v>
      </c>
      <c r="S173">
        <f t="shared" si="12"/>
        <v>0</v>
      </c>
      <c r="T173" s="4">
        <f t="shared" si="13"/>
        <v>0</v>
      </c>
      <c r="U173">
        <f t="shared" si="14"/>
        <v>0</v>
      </c>
      <c r="X173" s="4"/>
    </row>
    <row r="174" spans="1:24">
      <c r="A174" s="4" t="s">
        <v>65</v>
      </c>
      <c r="B174" s="5">
        <v>45658</v>
      </c>
      <c r="C174" s="4" t="s">
        <v>15</v>
      </c>
      <c r="D174" s="4" t="s">
        <v>16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 s="4">
        <v>0</v>
      </c>
      <c r="L174">
        <v>3.3</v>
      </c>
      <c r="M174" s="4">
        <v>780344.18</v>
      </c>
      <c r="N174" s="4">
        <v>118239.09</v>
      </c>
      <c r="P174">
        <f t="shared" si="10"/>
        <v>0</v>
      </c>
      <c r="Q174">
        <f t="shared" si="11"/>
        <v>1</v>
      </c>
      <c r="S174">
        <f t="shared" si="12"/>
        <v>0</v>
      </c>
      <c r="T174" s="4">
        <f t="shared" si="13"/>
        <v>0</v>
      </c>
      <c r="U174">
        <f t="shared" si="14"/>
        <v>0</v>
      </c>
      <c r="X174" s="4"/>
    </row>
    <row r="175" spans="1:24">
      <c r="A175" s="4" t="s">
        <v>65</v>
      </c>
      <c r="B175" s="5">
        <v>45689</v>
      </c>
      <c r="C175" s="4" t="s">
        <v>15</v>
      </c>
      <c r="D175" s="4" t="s">
        <v>16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 s="4">
        <v>0</v>
      </c>
      <c r="L175">
        <v>3.1</v>
      </c>
      <c r="M175" s="4">
        <v>721364.11</v>
      </c>
      <c r="N175" s="4">
        <v>147272.81</v>
      </c>
      <c r="P175">
        <f t="shared" si="10"/>
        <v>0</v>
      </c>
      <c r="Q175">
        <f t="shared" si="11"/>
        <v>1</v>
      </c>
      <c r="S175">
        <f t="shared" si="12"/>
        <v>0</v>
      </c>
      <c r="T175" s="4">
        <f t="shared" si="13"/>
        <v>0</v>
      </c>
      <c r="U175">
        <f t="shared" si="14"/>
        <v>0</v>
      </c>
      <c r="X175" s="4"/>
    </row>
    <row r="176" spans="1:24">
      <c r="A176" s="4" t="s">
        <v>65</v>
      </c>
      <c r="B176" s="5">
        <v>45717</v>
      </c>
      <c r="C176" s="4" t="s">
        <v>15</v>
      </c>
      <c r="D176" s="4" t="s">
        <v>16</v>
      </c>
      <c r="E176" s="4">
        <v>68040.149999999994</v>
      </c>
      <c r="F176" s="4">
        <v>9826</v>
      </c>
      <c r="G176" s="4">
        <v>0.125</v>
      </c>
      <c r="H176" s="4">
        <v>20</v>
      </c>
      <c r="I176" s="4">
        <v>83.9</v>
      </c>
      <c r="J176" s="4">
        <v>9.1199999999999992</v>
      </c>
      <c r="K176" s="4">
        <v>0</v>
      </c>
      <c r="L176">
        <v>3.6</v>
      </c>
      <c r="M176" s="4">
        <v>758138.29</v>
      </c>
      <c r="N176" s="4">
        <v>132975.26</v>
      </c>
      <c r="P176">
        <f t="shared" si="10"/>
        <v>0</v>
      </c>
      <c r="Q176">
        <f t="shared" si="11"/>
        <v>1</v>
      </c>
      <c r="S176">
        <f t="shared" si="12"/>
        <v>0</v>
      </c>
      <c r="T176" s="4">
        <f t="shared" si="13"/>
        <v>0</v>
      </c>
      <c r="U176">
        <f t="shared" si="14"/>
        <v>0</v>
      </c>
      <c r="X176" s="4"/>
    </row>
    <row r="177" spans="1:24">
      <c r="A177" s="4" t="s">
        <v>65</v>
      </c>
      <c r="B177" s="5">
        <v>45748</v>
      </c>
      <c r="C177" s="4" t="s">
        <v>15</v>
      </c>
      <c r="D177" s="4" t="s">
        <v>16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 s="4">
        <v>0</v>
      </c>
      <c r="L177">
        <v>3.1</v>
      </c>
      <c r="M177" s="4">
        <v>804264</v>
      </c>
      <c r="N177" s="4">
        <v>167117.91</v>
      </c>
      <c r="P177">
        <f t="shared" si="10"/>
        <v>0</v>
      </c>
      <c r="Q177">
        <f t="shared" si="11"/>
        <v>1</v>
      </c>
      <c r="S177">
        <f t="shared" si="12"/>
        <v>0</v>
      </c>
      <c r="T177" s="4">
        <f t="shared" si="13"/>
        <v>0</v>
      </c>
      <c r="U177">
        <f t="shared" si="14"/>
        <v>0</v>
      </c>
      <c r="X177" s="4"/>
    </row>
    <row r="178" spans="1:24">
      <c r="A178" s="4" t="s">
        <v>66</v>
      </c>
      <c r="B178" s="5">
        <v>45658</v>
      </c>
      <c r="C178" s="4" t="s">
        <v>27</v>
      </c>
      <c r="D178" s="4" t="s">
        <v>21</v>
      </c>
      <c r="E178" s="4">
        <v>67494.09</v>
      </c>
      <c r="F178" s="4">
        <v>12361</v>
      </c>
      <c r="G178" s="4">
        <v>4.5999999999999999E-2</v>
      </c>
      <c r="H178" s="4">
        <v>24</v>
      </c>
      <c r="I178" s="4">
        <v>76.599999999999994</v>
      </c>
      <c r="J178" s="4">
        <v>3.65</v>
      </c>
      <c r="K178" s="4">
        <v>1</v>
      </c>
      <c r="L178">
        <v>3.7</v>
      </c>
      <c r="M178" s="4">
        <v>887537.75</v>
      </c>
      <c r="N178" s="4">
        <v>160362.92000000001</v>
      </c>
      <c r="P178">
        <f t="shared" si="10"/>
        <v>0</v>
      </c>
      <c r="Q178">
        <f t="shared" si="11"/>
        <v>0</v>
      </c>
      <c r="S178">
        <f t="shared" si="12"/>
        <v>0</v>
      </c>
      <c r="T178" s="4">
        <f t="shared" si="13"/>
        <v>0</v>
      </c>
      <c r="U178">
        <f t="shared" si="14"/>
        <v>1</v>
      </c>
      <c r="X178" s="4"/>
    </row>
    <row r="179" spans="1:24">
      <c r="A179" s="4" t="s">
        <v>66</v>
      </c>
      <c r="B179" s="5">
        <v>45689</v>
      </c>
      <c r="C179" s="4" t="s">
        <v>27</v>
      </c>
      <c r="D179" s="4" t="s">
        <v>21</v>
      </c>
      <c r="E179" s="4">
        <v>29389.32</v>
      </c>
      <c r="F179" s="4">
        <v>7925</v>
      </c>
      <c r="G179" s="4">
        <v>0.17699999999999999</v>
      </c>
      <c r="H179" s="4">
        <v>21</v>
      </c>
      <c r="I179" s="4">
        <v>90.9</v>
      </c>
      <c r="J179" s="4">
        <v>7.86</v>
      </c>
      <c r="K179" s="4">
        <v>0</v>
      </c>
      <c r="L179">
        <v>4</v>
      </c>
      <c r="M179" s="4">
        <v>783582</v>
      </c>
      <c r="N179" s="4">
        <v>130670.93</v>
      </c>
      <c r="P179">
        <f t="shared" si="10"/>
        <v>0</v>
      </c>
      <c r="Q179">
        <f t="shared" si="11"/>
        <v>0</v>
      </c>
      <c r="S179">
        <f t="shared" si="12"/>
        <v>0</v>
      </c>
      <c r="T179" s="4">
        <f t="shared" si="13"/>
        <v>0</v>
      </c>
      <c r="U179">
        <f t="shared" si="14"/>
        <v>1</v>
      </c>
      <c r="X179" s="4"/>
    </row>
    <row r="180" spans="1:24">
      <c r="A180" s="4" t="s">
        <v>66</v>
      </c>
      <c r="B180" s="5">
        <v>45717</v>
      </c>
      <c r="C180" s="4" t="s">
        <v>27</v>
      </c>
      <c r="D180" s="4" t="s">
        <v>21</v>
      </c>
      <c r="E180" s="4">
        <v>40535.089999999997</v>
      </c>
      <c r="F180" s="4">
        <v>8870</v>
      </c>
      <c r="G180" s="4">
        <v>4.1000000000000002E-2</v>
      </c>
      <c r="H180" s="4">
        <v>21</v>
      </c>
      <c r="I180" s="4">
        <v>86.6</v>
      </c>
      <c r="J180" s="4">
        <v>0.3</v>
      </c>
      <c r="K180" s="4">
        <v>0</v>
      </c>
      <c r="L180">
        <v>4.0999999999999996</v>
      </c>
      <c r="M180" s="4">
        <v>781955.52</v>
      </c>
      <c r="N180" s="4">
        <v>152578.71</v>
      </c>
      <c r="P180">
        <f t="shared" si="10"/>
        <v>0</v>
      </c>
      <c r="Q180">
        <f t="shared" si="11"/>
        <v>0</v>
      </c>
      <c r="S180">
        <f t="shared" si="12"/>
        <v>0</v>
      </c>
      <c r="T180" s="4">
        <f t="shared" si="13"/>
        <v>0</v>
      </c>
      <c r="U180">
        <f t="shared" si="14"/>
        <v>1</v>
      </c>
      <c r="X180" s="4"/>
    </row>
    <row r="181" spans="1:24">
      <c r="A181" s="4" t="s">
        <v>66</v>
      </c>
      <c r="B181" s="5">
        <v>45748</v>
      </c>
      <c r="C181" s="4" t="s">
        <v>27</v>
      </c>
      <c r="D181" s="4" t="s">
        <v>21</v>
      </c>
      <c r="E181" s="4">
        <v>74881.56</v>
      </c>
      <c r="F181" s="4">
        <v>9999</v>
      </c>
      <c r="G181" s="4">
        <v>1.2999999999999999E-2</v>
      </c>
      <c r="H181" s="4">
        <v>20</v>
      </c>
      <c r="I181" s="4">
        <v>89.6</v>
      </c>
      <c r="J181" s="4">
        <v>8.44</v>
      </c>
      <c r="K181" s="4">
        <v>0</v>
      </c>
      <c r="L181">
        <v>4.0999999999999996</v>
      </c>
      <c r="M181" s="4">
        <v>898031.04</v>
      </c>
      <c r="N181" s="4">
        <v>138666.5</v>
      </c>
      <c r="P181">
        <f t="shared" si="10"/>
        <v>0</v>
      </c>
      <c r="Q181">
        <f t="shared" si="11"/>
        <v>0</v>
      </c>
      <c r="S181">
        <f t="shared" si="12"/>
        <v>0</v>
      </c>
      <c r="T181" s="4">
        <f t="shared" si="13"/>
        <v>0</v>
      </c>
      <c r="U181">
        <f t="shared" si="14"/>
        <v>1</v>
      </c>
      <c r="X181" s="4"/>
    </row>
    <row r="182" spans="1:24">
      <c r="A182" s="4" t="s">
        <v>67</v>
      </c>
      <c r="B182" s="5">
        <v>45658</v>
      </c>
      <c r="C182" s="4" t="s">
        <v>27</v>
      </c>
      <c r="D182" s="4" t="s">
        <v>16</v>
      </c>
      <c r="E182" s="4">
        <v>68491.11</v>
      </c>
      <c r="F182" s="4">
        <v>11154</v>
      </c>
      <c r="G182" s="4">
        <v>1E-3</v>
      </c>
      <c r="H182" s="4">
        <v>24</v>
      </c>
      <c r="I182" s="4">
        <v>89.4</v>
      </c>
      <c r="J182" s="4">
        <v>5.27</v>
      </c>
      <c r="K182" s="4">
        <v>1</v>
      </c>
      <c r="L182">
        <v>3.9</v>
      </c>
      <c r="M182" s="4">
        <v>855341.28</v>
      </c>
      <c r="N182" s="4">
        <v>175823.8</v>
      </c>
      <c r="P182">
        <f t="shared" si="10"/>
        <v>0</v>
      </c>
      <c r="Q182">
        <f t="shared" si="11"/>
        <v>1</v>
      </c>
      <c r="S182">
        <f t="shared" si="12"/>
        <v>0</v>
      </c>
      <c r="T182" s="4">
        <f t="shared" si="13"/>
        <v>0</v>
      </c>
      <c r="U182">
        <f t="shared" si="14"/>
        <v>1</v>
      </c>
      <c r="X182" s="4"/>
    </row>
    <row r="183" spans="1:24">
      <c r="A183" s="4" t="s">
        <v>67</v>
      </c>
      <c r="B183" s="5">
        <v>45689</v>
      </c>
      <c r="C183" s="4" t="s">
        <v>27</v>
      </c>
      <c r="D183" s="4" t="s">
        <v>16</v>
      </c>
      <c r="E183" s="4">
        <v>45209.25</v>
      </c>
      <c r="F183" s="4">
        <v>9287</v>
      </c>
      <c r="G183" s="4">
        <v>0.14099999999999999</v>
      </c>
      <c r="H183" s="4">
        <v>22</v>
      </c>
      <c r="I183" s="4">
        <v>86.4</v>
      </c>
      <c r="J183" s="4">
        <v>13.22</v>
      </c>
      <c r="K183" s="4">
        <v>0</v>
      </c>
      <c r="L183">
        <v>3.6</v>
      </c>
      <c r="M183" s="4">
        <v>751393.88</v>
      </c>
      <c r="N183" s="4">
        <v>91480.320000000007</v>
      </c>
      <c r="P183">
        <f t="shared" si="10"/>
        <v>0</v>
      </c>
      <c r="Q183">
        <f t="shared" si="11"/>
        <v>1</v>
      </c>
      <c r="S183">
        <f t="shared" si="12"/>
        <v>0</v>
      </c>
      <c r="T183" s="4">
        <f t="shared" si="13"/>
        <v>0</v>
      </c>
      <c r="U183">
        <f t="shared" si="14"/>
        <v>1</v>
      </c>
      <c r="X183" s="4"/>
    </row>
    <row r="184" spans="1:24">
      <c r="A184" s="4" t="s">
        <v>67</v>
      </c>
      <c r="B184" s="5">
        <v>45717</v>
      </c>
      <c r="C184" s="4" t="s">
        <v>27</v>
      </c>
      <c r="D184" s="4" t="s">
        <v>16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 s="4">
        <v>1</v>
      </c>
      <c r="L184">
        <v>3.8</v>
      </c>
      <c r="M184" s="4">
        <v>761077.08</v>
      </c>
      <c r="N184" s="4">
        <v>113605.93</v>
      </c>
      <c r="P184">
        <f t="shared" si="10"/>
        <v>0</v>
      </c>
      <c r="Q184">
        <f t="shared" si="11"/>
        <v>1</v>
      </c>
      <c r="S184">
        <f t="shared" si="12"/>
        <v>0</v>
      </c>
      <c r="T184" s="4">
        <f t="shared" si="13"/>
        <v>0</v>
      </c>
      <c r="U184">
        <f t="shared" si="14"/>
        <v>1</v>
      </c>
      <c r="X184" s="4"/>
    </row>
    <row r="185" spans="1:24">
      <c r="A185" s="4" t="s">
        <v>67</v>
      </c>
      <c r="B185" s="5">
        <v>45748</v>
      </c>
      <c r="C185" s="4" t="s">
        <v>27</v>
      </c>
      <c r="D185" s="4" t="s">
        <v>16</v>
      </c>
      <c r="E185" s="4">
        <v>57948.88</v>
      </c>
      <c r="F185" s="4">
        <v>10741</v>
      </c>
      <c r="G185" s="4">
        <v>7.0000000000000007E-2</v>
      </c>
      <c r="H185" s="4">
        <v>25</v>
      </c>
      <c r="I185" s="4">
        <v>90.1</v>
      </c>
      <c r="J185" s="4">
        <v>4.03</v>
      </c>
      <c r="K185" s="4">
        <v>0</v>
      </c>
      <c r="L185">
        <v>3.1</v>
      </c>
      <c r="M185" s="4">
        <v>819660.59</v>
      </c>
      <c r="N185" s="4">
        <v>172699.95</v>
      </c>
      <c r="P185">
        <f t="shared" si="10"/>
        <v>0</v>
      </c>
      <c r="Q185">
        <f t="shared" si="11"/>
        <v>1</v>
      </c>
      <c r="S185">
        <f t="shared" si="12"/>
        <v>0</v>
      </c>
      <c r="T185" s="4">
        <f t="shared" si="13"/>
        <v>0</v>
      </c>
      <c r="U185">
        <f t="shared" si="14"/>
        <v>1</v>
      </c>
      <c r="X185" s="4"/>
    </row>
    <row r="186" spans="1:24">
      <c r="A186" s="4" t="s">
        <v>68</v>
      </c>
      <c r="B186" s="5">
        <v>45658</v>
      </c>
      <c r="C186" s="4" t="s">
        <v>20</v>
      </c>
      <c r="D186" s="4" t="s">
        <v>18</v>
      </c>
      <c r="E186" s="4">
        <v>71941.62</v>
      </c>
      <c r="F186" s="4">
        <v>6084</v>
      </c>
      <c r="G186" s="4">
        <v>7.1999999999999995E-2</v>
      </c>
      <c r="H186" s="4">
        <v>13</v>
      </c>
      <c r="I186" s="4">
        <v>93.7</v>
      </c>
      <c r="J186" s="4">
        <v>2.34</v>
      </c>
      <c r="K186" s="4">
        <v>0</v>
      </c>
      <c r="L186">
        <v>4.4000000000000004</v>
      </c>
      <c r="M186" s="4">
        <v>681855.56</v>
      </c>
      <c r="N186" s="4">
        <v>117645.61</v>
      </c>
      <c r="P186">
        <f t="shared" si="10"/>
        <v>1</v>
      </c>
      <c r="Q186">
        <f t="shared" si="11"/>
        <v>0</v>
      </c>
      <c r="S186">
        <f t="shared" si="12"/>
        <v>1</v>
      </c>
      <c r="T186" s="4">
        <f t="shared" si="13"/>
        <v>0</v>
      </c>
      <c r="U186">
        <f t="shared" si="14"/>
        <v>0</v>
      </c>
      <c r="X186" s="4"/>
    </row>
    <row r="187" spans="1:24">
      <c r="A187" s="4" t="s">
        <v>68</v>
      </c>
      <c r="B187" s="5">
        <v>45689</v>
      </c>
      <c r="C187" s="4" t="s">
        <v>20</v>
      </c>
      <c r="D187" s="4" t="s">
        <v>18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 s="4">
        <v>0</v>
      </c>
      <c r="L187">
        <v>4.4000000000000004</v>
      </c>
      <c r="M187" s="4">
        <v>678311.17</v>
      </c>
      <c r="N187" s="4">
        <v>132029.76000000001</v>
      </c>
      <c r="P187">
        <f t="shared" si="10"/>
        <v>1</v>
      </c>
      <c r="Q187">
        <f t="shared" si="11"/>
        <v>0</v>
      </c>
      <c r="S187">
        <f t="shared" si="12"/>
        <v>1</v>
      </c>
      <c r="T187" s="4">
        <f t="shared" si="13"/>
        <v>0</v>
      </c>
      <c r="U187">
        <f t="shared" si="14"/>
        <v>0</v>
      </c>
      <c r="X187" s="4"/>
    </row>
    <row r="188" spans="1:24">
      <c r="A188" s="4" t="s">
        <v>68</v>
      </c>
      <c r="B188" s="5">
        <v>45717</v>
      </c>
      <c r="C188" s="4" t="s">
        <v>20</v>
      </c>
      <c r="D188" s="4" t="s">
        <v>18</v>
      </c>
      <c r="E188" s="4">
        <v>48031.74</v>
      </c>
      <c r="F188" s="4">
        <v>6516</v>
      </c>
      <c r="G188" s="4">
        <v>6.7000000000000004E-2</v>
      </c>
      <c r="H188" s="4">
        <v>14</v>
      </c>
      <c r="I188" s="4">
        <v>99</v>
      </c>
      <c r="J188" s="4">
        <v>0.48</v>
      </c>
      <c r="K188" s="4">
        <v>1</v>
      </c>
      <c r="L188">
        <v>4.3</v>
      </c>
      <c r="M188" s="4">
        <v>765906.95</v>
      </c>
      <c r="N188" s="4">
        <v>114005.9</v>
      </c>
      <c r="P188">
        <f t="shared" si="10"/>
        <v>1</v>
      </c>
      <c r="Q188">
        <f t="shared" si="11"/>
        <v>0</v>
      </c>
      <c r="S188">
        <f t="shared" si="12"/>
        <v>1</v>
      </c>
      <c r="T188" s="4">
        <f t="shared" si="13"/>
        <v>0</v>
      </c>
      <c r="U188">
        <f t="shared" si="14"/>
        <v>0</v>
      </c>
      <c r="X188" s="4"/>
    </row>
    <row r="189" spans="1:24">
      <c r="A189" s="4" t="s">
        <v>68</v>
      </c>
      <c r="B189" s="5">
        <v>45748</v>
      </c>
      <c r="C189" s="4" t="s">
        <v>20</v>
      </c>
      <c r="D189" s="4" t="s">
        <v>18</v>
      </c>
      <c r="E189" s="4">
        <v>72784.800000000003</v>
      </c>
      <c r="F189" s="4">
        <v>7932</v>
      </c>
      <c r="G189" s="4">
        <v>9.4E-2</v>
      </c>
      <c r="H189" s="4">
        <v>20</v>
      </c>
      <c r="I189" s="4">
        <v>74.900000000000006</v>
      </c>
      <c r="J189" s="4">
        <v>13.62</v>
      </c>
      <c r="K189" s="4">
        <v>0</v>
      </c>
      <c r="L189">
        <v>4.2</v>
      </c>
      <c r="M189" s="4">
        <v>712546.38</v>
      </c>
      <c r="N189" s="4">
        <v>101480.04</v>
      </c>
      <c r="P189">
        <f t="shared" si="10"/>
        <v>1</v>
      </c>
      <c r="Q189">
        <f t="shared" si="11"/>
        <v>0</v>
      </c>
      <c r="S189">
        <f t="shared" si="12"/>
        <v>1</v>
      </c>
      <c r="T189" s="4">
        <f t="shared" si="13"/>
        <v>0</v>
      </c>
      <c r="U189">
        <f t="shared" si="14"/>
        <v>0</v>
      </c>
      <c r="X189" s="4"/>
    </row>
    <row r="190" spans="1:24">
      <c r="A190" s="4" t="s">
        <v>69</v>
      </c>
      <c r="B190" s="5">
        <v>45658</v>
      </c>
      <c r="C190" s="4" t="s">
        <v>15</v>
      </c>
      <c r="D190" s="4" t="s">
        <v>18</v>
      </c>
      <c r="E190" s="4">
        <v>71641.899999999994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 s="4">
        <v>0</v>
      </c>
      <c r="L190">
        <v>4.0999999999999996</v>
      </c>
      <c r="M190" s="4">
        <v>625993.82999999996</v>
      </c>
      <c r="N190" s="4">
        <v>98960.320000000007</v>
      </c>
      <c r="P190">
        <f t="shared" si="10"/>
        <v>1</v>
      </c>
      <c r="Q190">
        <f t="shared" si="11"/>
        <v>0</v>
      </c>
      <c r="S190">
        <f t="shared" si="12"/>
        <v>0</v>
      </c>
      <c r="T190" s="4">
        <f t="shared" si="13"/>
        <v>0</v>
      </c>
      <c r="U190">
        <f t="shared" si="14"/>
        <v>0</v>
      </c>
      <c r="X190" s="4"/>
    </row>
    <row r="191" spans="1:24">
      <c r="A191" s="4" t="s">
        <v>69</v>
      </c>
      <c r="B191" s="5">
        <v>45689</v>
      </c>
      <c r="C191" s="4" t="s">
        <v>15</v>
      </c>
      <c r="D191" s="4" t="s">
        <v>18</v>
      </c>
      <c r="E191" s="4">
        <v>55788.61</v>
      </c>
      <c r="F191" s="4">
        <v>2312</v>
      </c>
      <c r="G191" s="4">
        <v>5.8000000000000003E-2</v>
      </c>
      <c r="H191" s="4">
        <v>10</v>
      </c>
      <c r="I191" s="4">
        <v>91.3</v>
      </c>
      <c r="J191" s="4">
        <v>1.99</v>
      </c>
      <c r="K191" s="4">
        <v>0</v>
      </c>
      <c r="L191">
        <v>3.8</v>
      </c>
      <c r="M191" s="4">
        <v>550962.93000000005</v>
      </c>
      <c r="N191" s="4">
        <v>97144.58</v>
      </c>
      <c r="P191">
        <f t="shared" si="10"/>
        <v>1</v>
      </c>
      <c r="Q191">
        <f t="shared" si="11"/>
        <v>0</v>
      </c>
      <c r="S191">
        <f t="shared" si="12"/>
        <v>0</v>
      </c>
      <c r="T191" s="4">
        <f t="shared" si="13"/>
        <v>0</v>
      </c>
      <c r="U191">
        <f t="shared" si="14"/>
        <v>0</v>
      </c>
      <c r="X191" s="4"/>
    </row>
    <row r="192" spans="1:24">
      <c r="A192" s="4" t="s">
        <v>69</v>
      </c>
      <c r="B192" s="5">
        <v>45717</v>
      </c>
      <c r="C192" s="4" t="s">
        <v>15</v>
      </c>
      <c r="D192" s="4" t="s">
        <v>18</v>
      </c>
      <c r="E192" s="4">
        <v>37705.879999999997</v>
      </c>
      <c r="F192" s="4">
        <v>1268</v>
      </c>
      <c r="G192" s="4">
        <v>0.25900000000000001</v>
      </c>
      <c r="H192" s="4">
        <v>9</v>
      </c>
      <c r="I192" s="4">
        <v>84.1</v>
      </c>
      <c r="J192" s="4">
        <v>4.7699999999999996</v>
      </c>
      <c r="K192" s="4">
        <v>0</v>
      </c>
      <c r="L192">
        <v>3.8</v>
      </c>
      <c r="M192" s="4">
        <v>443275.59</v>
      </c>
      <c r="N192" s="4">
        <v>53544.36</v>
      </c>
      <c r="P192">
        <f t="shared" si="10"/>
        <v>1</v>
      </c>
      <c r="Q192">
        <f t="shared" si="11"/>
        <v>0</v>
      </c>
      <c r="S192">
        <f t="shared" si="12"/>
        <v>0</v>
      </c>
      <c r="T192" s="4">
        <f t="shared" si="13"/>
        <v>0</v>
      </c>
      <c r="U192">
        <f t="shared" si="14"/>
        <v>0</v>
      </c>
      <c r="X192" s="4"/>
    </row>
    <row r="193" spans="1:24">
      <c r="A193" s="4" t="s">
        <v>69</v>
      </c>
      <c r="B193" s="5">
        <v>45748</v>
      </c>
      <c r="C193" s="4" t="s">
        <v>15</v>
      </c>
      <c r="D193" s="4" t="s">
        <v>18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 s="4">
        <v>0</v>
      </c>
      <c r="L193">
        <v>4.4000000000000004</v>
      </c>
      <c r="M193" s="4">
        <v>554012.06999999995</v>
      </c>
      <c r="N193" s="4">
        <v>81101.62</v>
      </c>
      <c r="P193">
        <f t="shared" si="10"/>
        <v>1</v>
      </c>
      <c r="Q193">
        <f t="shared" si="11"/>
        <v>0</v>
      </c>
      <c r="S193">
        <f t="shared" si="12"/>
        <v>0</v>
      </c>
      <c r="T193" s="4">
        <f t="shared" si="13"/>
        <v>0</v>
      </c>
      <c r="U193">
        <f t="shared" si="14"/>
        <v>0</v>
      </c>
      <c r="X193" s="4"/>
    </row>
    <row r="194" spans="1:24">
      <c r="A194" s="4" t="s">
        <v>70</v>
      </c>
      <c r="B194" s="5">
        <v>45658</v>
      </c>
      <c r="C194" s="4" t="s">
        <v>27</v>
      </c>
      <c r="D194" s="4" t="s">
        <v>16</v>
      </c>
      <c r="E194" s="4">
        <v>81796.740000000005</v>
      </c>
      <c r="F194" s="4">
        <v>6177</v>
      </c>
      <c r="G194" s="4">
        <v>0.16400000000000001</v>
      </c>
      <c r="H194" s="4">
        <v>14</v>
      </c>
      <c r="I194" s="4">
        <v>87.9</v>
      </c>
      <c r="J194" s="4">
        <v>0.53</v>
      </c>
      <c r="K194" s="4">
        <v>0</v>
      </c>
      <c r="L194">
        <v>3.2</v>
      </c>
      <c r="M194" s="4">
        <v>643428.85</v>
      </c>
      <c r="N194" s="4">
        <v>94477.63</v>
      </c>
      <c r="P194">
        <f t="shared" ref="P194:P257" si="15">IF(D194="High Street",1,0)</f>
        <v>0</v>
      </c>
      <c r="Q194">
        <f t="shared" ref="Q194:Q257" si="16">IF(D194="Residential",1,0)</f>
        <v>1</v>
      </c>
      <c r="S194">
        <f t="shared" ref="S194:S257" si="17">IF(C194="North",1,0)</f>
        <v>0</v>
      </c>
      <c r="T194" s="4">
        <f t="shared" ref="T194:T257" si="18">IF(C194="South",1,0)</f>
        <v>0</v>
      </c>
      <c r="U194">
        <f t="shared" ref="U194:U257" si="19">IF(C194="West",1,0)</f>
        <v>1</v>
      </c>
      <c r="X194" s="4"/>
    </row>
    <row r="195" spans="1:24">
      <c r="A195" s="4" t="s">
        <v>70</v>
      </c>
      <c r="B195" s="5">
        <v>45689</v>
      </c>
      <c r="C195" s="4" t="s">
        <v>27</v>
      </c>
      <c r="D195" s="4" t="s">
        <v>16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 s="4">
        <v>0</v>
      </c>
      <c r="L195">
        <v>3.2</v>
      </c>
      <c r="M195" s="4">
        <v>611924.27</v>
      </c>
      <c r="N195" s="4">
        <v>115488.75</v>
      </c>
      <c r="P195">
        <f t="shared" si="15"/>
        <v>0</v>
      </c>
      <c r="Q195">
        <f t="shared" si="16"/>
        <v>1</v>
      </c>
      <c r="S195">
        <f t="shared" si="17"/>
        <v>0</v>
      </c>
      <c r="T195" s="4">
        <f t="shared" si="18"/>
        <v>0</v>
      </c>
      <c r="U195">
        <f t="shared" si="19"/>
        <v>1</v>
      </c>
      <c r="X195" s="4"/>
    </row>
    <row r="196" spans="1:24">
      <c r="A196" s="4" t="s">
        <v>70</v>
      </c>
      <c r="B196" s="5">
        <v>45717</v>
      </c>
      <c r="C196" s="4" t="s">
        <v>27</v>
      </c>
      <c r="D196" s="4" t="s">
        <v>16</v>
      </c>
      <c r="E196" s="4">
        <v>40220.18</v>
      </c>
      <c r="F196" s="4">
        <v>3783</v>
      </c>
      <c r="G196" s="4">
        <v>8.8999999999999996E-2</v>
      </c>
      <c r="H196" s="4">
        <v>14</v>
      </c>
      <c r="I196" s="4">
        <v>86.6</v>
      </c>
      <c r="J196" s="4">
        <v>3.63</v>
      </c>
      <c r="K196" s="4">
        <v>0</v>
      </c>
      <c r="L196">
        <v>3.7</v>
      </c>
      <c r="M196" s="4">
        <v>559422.02</v>
      </c>
      <c r="N196" s="4">
        <v>73528.740000000005</v>
      </c>
      <c r="P196">
        <f t="shared" si="15"/>
        <v>0</v>
      </c>
      <c r="Q196">
        <f t="shared" si="16"/>
        <v>1</v>
      </c>
      <c r="S196">
        <f t="shared" si="17"/>
        <v>0</v>
      </c>
      <c r="T196" s="4">
        <f t="shared" si="18"/>
        <v>0</v>
      </c>
      <c r="U196">
        <f t="shared" si="19"/>
        <v>1</v>
      </c>
      <c r="X196" s="4"/>
    </row>
    <row r="197" spans="1:24">
      <c r="A197" s="4" t="s">
        <v>70</v>
      </c>
      <c r="B197" s="5">
        <v>45748</v>
      </c>
      <c r="C197" s="4" t="s">
        <v>27</v>
      </c>
      <c r="D197" s="4" t="s">
        <v>16</v>
      </c>
      <c r="E197" s="4">
        <v>41657.64</v>
      </c>
      <c r="F197" s="4">
        <v>3135</v>
      </c>
      <c r="G197" s="4">
        <v>0.22900000000000001</v>
      </c>
      <c r="H197" s="4">
        <v>7</v>
      </c>
      <c r="I197" s="4">
        <v>85.4</v>
      </c>
      <c r="J197" s="4">
        <v>13.48</v>
      </c>
      <c r="K197" s="4">
        <v>0</v>
      </c>
      <c r="L197">
        <v>3.9246794871794881</v>
      </c>
      <c r="M197" s="4">
        <v>449465.06</v>
      </c>
      <c r="N197" s="4">
        <v>65694.78</v>
      </c>
      <c r="P197">
        <f t="shared" si="15"/>
        <v>0</v>
      </c>
      <c r="Q197">
        <f t="shared" si="16"/>
        <v>1</v>
      </c>
      <c r="S197">
        <f t="shared" si="17"/>
        <v>0</v>
      </c>
      <c r="T197" s="4">
        <f t="shared" si="18"/>
        <v>0</v>
      </c>
      <c r="U197">
        <f t="shared" si="19"/>
        <v>1</v>
      </c>
      <c r="X197" s="4"/>
    </row>
    <row r="198" spans="1:24">
      <c r="A198" s="4" t="s">
        <v>71</v>
      </c>
      <c r="B198" s="5">
        <v>45658</v>
      </c>
      <c r="C198" s="4" t="s">
        <v>20</v>
      </c>
      <c r="D198" s="4" t="s">
        <v>16</v>
      </c>
      <c r="E198" s="4">
        <v>71851.45</v>
      </c>
      <c r="F198" s="4">
        <v>4970</v>
      </c>
      <c r="G198" s="4">
        <v>9.8000000000000004E-2</v>
      </c>
      <c r="H198" s="4">
        <v>11</v>
      </c>
      <c r="I198" s="4">
        <v>89.6</v>
      </c>
      <c r="J198" s="4">
        <v>0.2</v>
      </c>
      <c r="K198" s="4">
        <v>0</v>
      </c>
      <c r="L198">
        <v>4.2</v>
      </c>
      <c r="M198" s="4">
        <v>691447.43</v>
      </c>
      <c r="N198" s="4">
        <v>114077.69</v>
      </c>
      <c r="P198">
        <f t="shared" si="15"/>
        <v>0</v>
      </c>
      <c r="Q198">
        <f t="shared" si="16"/>
        <v>1</v>
      </c>
      <c r="S198">
        <f t="shared" si="17"/>
        <v>1</v>
      </c>
      <c r="T198" s="4">
        <f t="shared" si="18"/>
        <v>0</v>
      </c>
      <c r="U198">
        <f t="shared" si="19"/>
        <v>0</v>
      </c>
      <c r="X198" s="4"/>
    </row>
    <row r="199" spans="1:24">
      <c r="A199" s="4" t="s">
        <v>71</v>
      </c>
      <c r="B199" s="5">
        <v>45689</v>
      </c>
      <c r="C199" s="4" t="s">
        <v>20</v>
      </c>
      <c r="D199" s="4" t="s">
        <v>16</v>
      </c>
      <c r="E199" s="4">
        <v>54002.83</v>
      </c>
      <c r="F199" s="4">
        <v>4366</v>
      </c>
      <c r="G199" s="4">
        <v>2.7E-2</v>
      </c>
      <c r="H199" s="4">
        <v>15</v>
      </c>
      <c r="I199" s="4">
        <v>90.6</v>
      </c>
      <c r="J199" s="4">
        <v>12.82</v>
      </c>
      <c r="K199" s="4">
        <v>0</v>
      </c>
      <c r="L199">
        <v>4.5999999999999996</v>
      </c>
      <c r="M199" s="4">
        <v>574066.61</v>
      </c>
      <c r="N199" s="4">
        <v>124674.67</v>
      </c>
      <c r="P199">
        <f t="shared" si="15"/>
        <v>0</v>
      </c>
      <c r="Q199">
        <f t="shared" si="16"/>
        <v>1</v>
      </c>
      <c r="S199">
        <f t="shared" si="17"/>
        <v>1</v>
      </c>
      <c r="T199" s="4">
        <f t="shared" si="18"/>
        <v>0</v>
      </c>
      <c r="U199">
        <f t="shared" si="19"/>
        <v>0</v>
      </c>
      <c r="X199" s="4"/>
    </row>
    <row r="200" spans="1:24">
      <c r="A200" s="4" t="s">
        <v>71</v>
      </c>
      <c r="B200" s="5">
        <v>45717</v>
      </c>
      <c r="C200" s="4" t="s">
        <v>20</v>
      </c>
      <c r="D200" s="4" t="s">
        <v>16</v>
      </c>
      <c r="E200" s="4">
        <v>54479.33</v>
      </c>
      <c r="F200" s="4">
        <v>5012</v>
      </c>
      <c r="G200" s="4">
        <v>0.28399999999999997</v>
      </c>
      <c r="H200" s="4">
        <v>13</v>
      </c>
      <c r="I200" s="4">
        <v>86</v>
      </c>
      <c r="J200" s="4">
        <v>2.2400000000000002</v>
      </c>
      <c r="K200" s="4">
        <v>1</v>
      </c>
      <c r="L200">
        <v>4.3</v>
      </c>
      <c r="M200" s="4">
        <v>578949.84</v>
      </c>
      <c r="N200" s="4">
        <v>80253.649999999994</v>
      </c>
      <c r="P200">
        <f t="shared" si="15"/>
        <v>0</v>
      </c>
      <c r="Q200">
        <f t="shared" si="16"/>
        <v>1</v>
      </c>
      <c r="S200">
        <f t="shared" si="17"/>
        <v>1</v>
      </c>
      <c r="T200" s="4">
        <f t="shared" si="18"/>
        <v>0</v>
      </c>
      <c r="U200">
        <f t="shared" si="19"/>
        <v>0</v>
      </c>
      <c r="X200" s="4"/>
    </row>
    <row r="201" spans="1:24">
      <c r="A201" s="4" t="s">
        <v>71</v>
      </c>
      <c r="B201" s="5">
        <v>45748</v>
      </c>
      <c r="C201" s="4" t="s">
        <v>20</v>
      </c>
      <c r="D201" s="4" t="s">
        <v>16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 s="4">
        <v>0</v>
      </c>
      <c r="L201">
        <v>4.8</v>
      </c>
      <c r="M201" s="4">
        <v>735786.64</v>
      </c>
      <c r="N201" s="4">
        <v>126540.66</v>
      </c>
      <c r="P201">
        <f t="shared" si="15"/>
        <v>0</v>
      </c>
      <c r="Q201">
        <f t="shared" si="16"/>
        <v>1</v>
      </c>
      <c r="S201">
        <f t="shared" si="17"/>
        <v>1</v>
      </c>
      <c r="T201" s="4">
        <f t="shared" si="18"/>
        <v>0</v>
      </c>
      <c r="U201">
        <f t="shared" si="19"/>
        <v>0</v>
      </c>
      <c r="X201" s="4"/>
    </row>
    <row r="202" spans="1:24">
      <c r="A202" s="4" t="s">
        <v>72</v>
      </c>
      <c r="B202" s="5">
        <v>45658</v>
      </c>
      <c r="C202" s="4" t="s">
        <v>15</v>
      </c>
      <c r="D202" s="4" t="s">
        <v>21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 s="4">
        <v>1</v>
      </c>
      <c r="L202">
        <v>4.5999999999999996</v>
      </c>
      <c r="M202" s="4">
        <v>598904.9</v>
      </c>
      <c r="N202" s="4">
        <v>72861</v>
      </c>
      <c r="P202">
        <f t="shared" si="15"/>
        <v>0</v>
      </c>
      <c r="Q202">
        <f t="shared" si="16"/>
        <v>0</v>
      </c>
      <c r="S202">
        <f t="shared" si="17"/>
        <v>0</v>
      </c>
      <c r="T202" s="4">
        <f t="shared" si="18"/>
        <v>0</v>
      </c>
      <c r="U202">
        <f t="shared" si="19"/>
        <v>0</v>
      </c>
      <c r="X202" s="4"/>
    </row>
    <row r="203" spans="1:24">
      <c r="A203" s="4" t="s">
        <v>72</v>
      </c>
      <c r="B203" s="5">
        <v>45689</v>
      </c>
      <c r="C203" s="4" t="s">
        <v>15</v>
      </c>
      <c r="D203" s="4" t="s">
        <v>21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 s="4">
        <v>0</v>
      </c>
      <c r="L203">
        <v>4.8</v>
      </c>
      <c r="M203" s="4">
        <v>787715.51</v>
      </c>
      <c r="N203" s="4">
        <v>128969.62</v>
      </c>
      <c r="P203">
        <f t="shared" si="15"/>
        <v>0</v>
      </c>
      <c r="Q203">
        <f t="shared" si="16"/>
        <v>0</v>
      </c>
      <c r="S203">
        <f t="shared" si="17"/>
        <v>0</v>
      </c>
      <c r="T203" s="4">
        <f t="shared" si="18"/>
        <v>0</v>
      </c>
      <c r="U203">
        <f t="shared" si="19"/>
        <v>0</v>
      </c>
      <c r="X203" s="4"/>
    </row>
    <row r="204" spans="1:24">
      <c r="A204" s="4" t="s">
        <v>72</v>
      </c>
      <c r="B204" s="5">
        <v>45717</v>
      </c>
      <c r="C204" s="4" t="s">
        <v>15</v>
      </c>
      <c r="D204" s="4" t="s">
        <v>21</v>
      </c>
      <c r="E204" s="4">
        <v>35203.230000000003</v>
      </c>
      <c r="F204" s="4">
        <v>6896</v>
      </c>
      <c r="G204" s="4">
        <v>3.2000000000000001E-2</v>
      </c>
      <c r="H204" s="4">
        <v>14</v>
      </c>
      <c r="I204" s="4">
        <v>80.8</v>
      </c>
      <c r="J204" s="4">
        <v>8.44</v>
      </c>
      <c r="K204" s="4">
        <v>1</v>
      </c>
      <c r="L204">
        <v>5</v>
      </c>
      <c r="M204" s="4">
        <v>607084.92000000004</v>
      </c>
      <c r="N204" s="4">
        <v>98558.49</v>
      </c>
      <c r="P204">
        <f t="shared" si="15"/>
        <v>0</v>
      </c>
      <c r="Q204">
        <f t="shared" si="16"/>
        <v>0</v>
      </c>
      <c r="S204">
        <f t="shared" si="17"/>
        <v>0</v>
      </c>
      <c r="T204" s="4">
        <f t="shared" si="18"/>
        <v>0</v>
      </c>
      <c r="U204">
        <f t="shared" si="19"/>
        <v>0</v>
      </c>
      <c r="X204" s="4"/>
    </row>
    <row r="205" spans="1:24">
      <c r="A205" s="4" t="s">
        <v>72</v>
      </c>
      <c r="B205" s="5">
        <v>45748</v>
      </c>
      <c r="C205" s="4" t="s">
        <v>15</v>
      </c>
      <c r="D205" s="4" t="s">
        <v>21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 s="4">
        <v>0</v>
      </c>
      <c r="L205">
        <v>4</v>
      </c>
      <c r="M205" s="4">
        <v>650795.49</v>
      </c>
      <c r="N205" s="4">
        <v>103035.89</v>
      </c>
      <c r="P205">
        <f t="shared" si="15"/>
        <v>0</v>
      </c>
      <c r="Q205">
        <f t="shared" si="16"/>
        <v>0</v>
      </c>
      <c r="S205">
        <f t="shared" si="17"/>
        <v>0</v>
      </c>
      <c r="T205" s="4">
        <f t="shared" si="18"/>
        <v>0</v>
      </c>
      <c r="U205">
        <f t="shared" si="19"/>
        <v>0</v>
      </c>
      <c r="X205" s="4"/>
    </row>
    <row r="206" spans="1:24">
      <c r="A206" s="4" t="s">
        <v>73</v>
      </c>
      <c r="B206" s="5">
        <v>45658</v>
      </c>
      <c r="C206" s="4" t="s">
        <v>15</v>
      </c>
      <c r="D206" s="4" t="s">
        <v>28</v>
      </c>
      <c r="E206" s="4">
        <v>92090.14</v>
      </c>
      <c r="F206" s="4">
        <v>9476</v>
      </c>
      <c r="G206" s="4">
        <v>7.0000000000000007E-2</v>
      </c>
      <c r="H206" s="4">
        <v>24</v>
      </c>
      <c r="I206" s="4">
        <v>94.3</v>
      </c>
      <c r="J206" s="4">
        <v>0.87</v>
      </c>
      <c r="K206" s="4">
        <v>0</v>
      </c>
      <c r="L206">
        <v>3.7</v>
      </c>
      <c r="M206" s="4">
        <v>825060.52</v>
      </c>
      <c r="N206" s="4">
        <v>143613.15</v>
      </c>
      <c r="P206">
        <f t="shared" si="15"/>
        <v>0</v>
      </c>
      <c r="Q206">
        <f t="shared" si="16"/>
        <v>0</v>
      </c>
      <c r="S206">
        <f t="shared" si="17"/>
        <v>0</v>
      </c>
      <c r="T206" s="4">
        <f t="shared" si="18"/>
        <v>0</v>
      </c>
      <c r="U206">
        <f t="shared" si="19"/>
        <v>0</v>
      </c>
      <c r="X206" s="4"/>
    </row>
    <row r="207" spans="1:24">
      <c r="A207" s="4" t="s">
        <v>73</v>
      </c>
      <c r="B207" s="5">
        <v>45689</v>
      </c>
      <c r="C207" s="4" t="s">
        <v>15</v>
      </c>
      <c r="D207" s="4" t="s">
        <v>28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 s="4">
        <v>0</v>
      </c>
      <c r="L207">
        <v>3.7</v>
      </c>
      <c r="M207" s="4">
        <v>795464.47</v>
      </c>
      <c r="N207" s="4">
        <v>161150.51999999999</v>
      </c>
      <c r="P207">
        <f t="shared" si="15"/>
        <v>0</v>
      </c>
      <c r="Q207">
        <f t="shared" si="16"/>
        <v>0</v>
      </c>
      <c r="S207">
        <f t="shared" si="17"/>
        <v>0</v>
      </c>
      <c r="T207" s="4">
        <f t="shared" si="18"/>
        <v>0</v>
      </c>
      <c r="U207">
        <f t="shared" si="19"/>
        <v>0</v>
      </c>
      <c r="X207" s="4"/>
    </row>
    <row r="208" spans="1:24">
      <c r="A208" s="4" t="s">
        <v>73</v>
      </c>
      <c r="B208" s="5">
        <v>45717</v>
      </c>
      <c r="C208" s="4" t="s">
        <v>15</v>
      </c>
      <c r="D208" s="4" t="s">
        <v>28</v>
      </c>
      <c r="E208" s="4">
        <v>37983.35</v>
      </c>
      <c r="F208" s="4">
        <v>9283</v>
      </c>
      <c r="G208" s="4">
        <v>0.14899999999999999</v>
      </c>
      <c r="H208" s="4">
        <v>19</v>
      </c>
      <c r="I208" s="4">
        <v>83.2</v>
      </c>
      <c r="J208" s="4">
        <v>3.82</v>
      </c>
      <c r="K208" s="4">
        <v>0</v>
      </c>
      <c r="L208">
        <v>3.7</v>
      </c>
      <c r="M208" s="4">
        <v>671868.59</v>
      </c>
      <c r="N208" s="4">
        <v>71003.28</v>
      </c>
      <c r="P208">
        <f t="shared" si="15"/>
        <v>0</v>
      </c>
      <c r="Q208">
        <f t="shared" si="16"/>
        <v>0</v>
      </c>
      <c r="S208">
        <f t="shared" si="17"/>
        <v>0</v>
      </c>
      <c r="T208" s="4">
        <f t="shared" si="18"/>
        <v>0</v>
      </c>
      <c r="U208">
        <f t="shared" si="19"/>
        <v>0</v>
      </c>
      <c r="X208" s="4"/>
    </row>
    <row r="209" spans="1:24">
      <c r="A209" s="4" t="s">
        <v>73</v>
      </c>
      <c r="B209" s="5">
        <v>45748</v>
      </c>
      <c r="C209" s="4" t="s">
        <v>15</v>
      </c>
      <c r="D209" s="4" t="s">
        <v>28</v>
      </c>
      <c r="E209" s="4">
        <v>56413.83</v>
      </c>
      <c r="F209" s="4">
        <v>8303</v>
      </c>
      <c r="G209" s="4">
        <v>0.11600000000000001</v>
      </c>
      <c r="H209" s="4">
        <v>18</v>
      </c>
      <c r="I209" s="4">
        <v>93.6</v>
      </c>
      <c r="J209" s="4">
        <v>2.7</v>
      </c>
      <c r="K209" s="4">
        <v>0</v>
      </c>
      <c r="L209">
        <v>3.7</v>
      </c>
      <c r="M209" s="4">
        <v>675917.63</v>
      </c>
      <c r="N209" s="4">
        <v>112564.75</v>
      </c>
      <c r="P209">
        <f t="shared" si="15"/>
        <v>0</v>
      </c>
      <c r="Q209">
        <f t="shared" si="16"/>
        <v>0</v>
      </c>
      <c r="S209">
        <f t="shared" si="17"/>
        <v>0</v>
      </c>
      <c r="T209" s="4">
        <f t="shared" si="18"/>
        <v>0</v>
      </c>
      <c r="U209">
        <f t="shared" si="19"/>
        <v>0</v>
      </c>
      <c r="X209" s="4"/>
    </row>
    <row r="210" spans="1:24">
      <c r="A210" s="4" t="s">
        <v>74</v>
      </c>
      <c r="B210" s="5">
        <v>45658</v>
      </c>
      <c r="C210" s="4" t="s">
        <v>15</v>
      </c>
      <c r="D210" s="4" t="s">
        <v>18</v>
      </c>
      <c r="E210" s="4">
        <v>63457.19</v>
      </c>
      <c r="F210" s="4">
        <v>10125</v>
      </c>
      <c r="G210" s="4">
        <v>9.7000000000000003E-2</v>
      </c>
      <c r="H210" s="4">
        <v>24</v>
      </c>
      <c r="I210" s="4">
        <v>87</v>
      </c>
      <c r="J210" s="4">
        <v>3.84</v>
      </c>
      <c r="K210" s="4">
        <v>1</v>
      </c>
      <c r="L210">
        <v>3.7</v>
      </c>
      <c r="M210" s="4">
        <v>810446.53</v>
      </c>
      <c r="N210" s="4">
        <v>200575.34</v>
      </c>
      <c r="P210">
        <f t="shared" si="15"/>
        <v>1</v>
      </c>
      <c r="Q210">
        <f t="shared" si="16"/>
        <v>0</v>
      </c>
      <c r="S210">
        <f t="shared" si="17"/>
        <v>0</v>
      </c>
      <c r="T210" s="4">
        <f t="shared" si="18"/>
        <v>0</v>
      </c>
      <c r="U210">
        <f t="shared" si="19"/>
        <v>0</v>
      </c>
      <c r="X210" s="4"/>
    </row>
    <row r="211" spans="1:24">
      <c r="A211" s="4" t="s">
        <v>74</v>
      </c>
      <c r="B211" s="5">
        <v>45689</v>
      </c>
      <c r="C211" s="4" t="s">
        <v>15</v>
      </c>
      <c r="D211" s="4" t="s">
        <v>18</v>
      </c>
      <c r="E211" s="4">
        <v>62949.7</v>
      </c>
      <c r="F211" s="4">
        <v>9458</v>
      </c>
      <c r="G211" s="4">
        <v>0.17100000000000001</v>
      </c>
      <c r="H211" s="4">
        <v>19</v>
      </c>
      <c r="I211" s="4">
        <v>84.9</v>
      </c>
      <c r="J211" s="4">
        <v>5.09</v>
      </c>
      <c r="K211" s="4">
        <v>0</v>
      </c>
      <c r="L211">
        <v>3.3</v>
      </c>
      <c r="M211" s="4">
        <v>691288.19</v>
      </c>
      <c r="N211" s="4">
        <v>159074.14000000001</v>
      </c>
      <c r="P211">
        <f t="shared" si="15"/>
        <v>1</v>
      </c>
      <c r="Q211">
        <f t="shared" si="16"/>
        <v>0</v>
      </c>
      <c r="S211">
        <f t="shared" si="17"/>
        <v>0</v>
      </c>
      <c r="T211" s="4">
        <f t="shared" si="18"/>
        <v>0</v>
      </c>
      <c r="U211">
        <f t="shared" si="19"/>
        <v>0</v>
      </c>
      <c r="X211" s="4"/>
    </row>
    <row r="212" spans="1:24">
      <c r="A212" s="4" t="s">
        <v>74</v>
      </c>
      <c r="B212" s="5">
        <v>45717</v>
      </c>
      <c r="C212" s="4" t="s">
        <v>15</v>
      </c>
      <c r="D212" s="4" t="s">
        <v>18</v>
      </c>
      <c r="E212" s="4">
        <v>107970.19</v>
      </c>
      <c r="F212" s="4">
        <v>12870</v>
      </c>
      <c r="G212" s="4">
        <v>2.9000000000000001E-2</v>
      </c>
      <c r="H212" s="4">
        <v>31</v>
      </c>
      <c r="I212" s="4">
        <v>91.7</v>
      </c>
      <c r="J212" s="4">
        <v>3.82</v>
      </c>
      <c r="K212" s="4">
        <v>1</v>
      </c>
      <c r="L212">
        <v>3.7</v>
      </c>
      <c r="M212" s="4">
        <v>946833.54</v>
      </c>
      <c r="N212" s="4">
        <v>184540.31</v>
      </c>
      <c r="P212">
        <f t="shared" si="15"/>
        <v>1</v>
      </c>
      <c r="Q212">
        <f t="shared" si="16"/>
        <v>0</v>
      </c>
      <c r="S212">
        <f t="shared" si="17"/>
        <v>0</v>
      </c>
      <c r="T212" s="4">
        <f t="shared" si="18"/>
        <v>0</v>
      </c>
      <c r="U212">
        <f t="shared" si="19"/>
        <v>0</v>
      </c>
      <c r="X212" s="4"/>
    </row>
    <row r="213" spans="1:24">
      <c r="A213" s="4" t="s">
        <v>74</v>
      </c>
      <c r="B213" s="5">
        <v>45748</v>
      </c>
      <c r="C213" s="4" t="s">
        <v>15</v>
      </c>
      <c r="D213" s="4" t="s">
        <v>18</v>
      </c>
      <c r="E213" s="4">
        <v>49405.75</v>
      </c>
      <c r="F213" s="4">
        <v>9752</v>
      </c>
      <c r="G213" s="4">
        <v>9.2999999999999999E-2</v>
      </c>
      <c r="H213" s="4">
        <v>21</v>
      </c>
      <c r="I213" s="4">
        <v>87</v>
      </c>
      <c r="J213" s="4">
        <v>12.28</v>
      </c>
      <c r="K213" s="4">
        <v>0</v>
      </c>
      <c r="L213">
        <v>4.0999999999999996</v>
      </c>
      <c r="M213" s="4">
        <v>761963.23</v>
      </c>
      <c r="N213" s="4">
        <v>150113.60999999999</v>
      </c>
      <c r="P213">
        <f t="shared" si="15"/>
        <v>1</v>
      </c>
      <c r="Q213">
        <f t="shared" si="16"/>
        <v>0</v>
      </c>
      <c r="S213">
        <f t="shared" si="17"/>
        <v>0</v>
      </c>
      <c r="T213" s="4">
        <f t="shared" si="18"/>
        <v>0</v>
      </c>
      <c r="U213">
        <f t="shared" si="19"/>
        <v>0</v>
      </c>
      <c r="X213" s="4"/>
    </row>
    <row r="214" spans="1:24">
      <c r="A214" s="4" t="s">
        <v>75</v>
      </c>
      <c r="B214" s="5">
        <v>45658</v>
      </c>
      <c r="C214" s="4" t="s">
        <v>27</v>
      </c>
      <c r="D214" s="4" t="s">
        <v>16</v>
      </c>
      <c r="E214" s="4">
        <v>50887.46</v>
      </c>
      <c r="F214" s="4">
        <v>9505</v>
      </c>
      <c r="G214" s="4">
        <v>9.0999999999999998E-2</v>
      </c>
      <c r="H214" s="4">
        <v>25</v>
      </c>
      <c r="I214" s="4">
        <v>89.7</v>
      </c>
      <c r="J214" s="4">
        <v>2.8</v>
      </c>
      <c r="K214" s="4">
        <v>0</v>
      </c>
      <c r="L214">
        <v>4.3</v>
      </c>
      <c r="M214" s="4">
        <v>812152.6</v>
      </c>
      <c r="N214" s="4">
        <v>138419.43</v>
      </c>
      <c r="P214">
        <f t="shared" si="15"/>
        <v>0</v>
      </c>
      <c r="Q214">
        <f t="shared" si="16"/>
        <v>1</v>
      </c>
      <c r="S214">
        <f t="shared" si="17"/>
        <v>0</v>
      </c>
      <c r="T214" s="4">
        <f t="shared" si="18"/>
        <v>0</v>
      </c>
      <c r="U214">
        <f t="shared" si="19"/>
        <v>1</v>
      </c>
      <c r="X214" s="4"/>
    </row>
    <row r="215" spans="1:24">
      <c r="A215" s="4" t="s">
        <v>75</v>
      </c>
      <c r="B215" s="5">
        <v>45689</v>
      </c>
      <c r="C215" s="4" t="s">
        <v>27</v>
      </c>
      <c r="D215" s="4" t="s">
        <v>16</v>
      </c>
      <c r="E215" s="4">
        <v>41819.449999999997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 s="4">
        <v>0</v>
      </c>
      <c r="L215">
        <v>4.2</v>
      </c>
      <c r="M215" s="4">
        <v>804975.5</v>
      </c>
      <c r="N215" s="4">
        <v>140054.5</v>
      </c>
      <c r="P215">
        <f t="shared" si="15"/>
        <v>0</v>
      </c>
      <c r="Q215">
        <f t="shared" si="16"/>
        <v>1</v>
      </c>
      <c r="S215">
        <f t="shared" si="17"/>
        <v>0</v>
      </c>
      <c r="T215" s="4">
        <f t="shared" si="18"/>
        <v>0</v>
      </c>
      <c r="U215">
        <f t="shared" si="19"/>
        <v>1</v>
      </c>
      <c r="X215" s="4"/>
    </row>
    <row r="216" spans="1:24">
      <c r="A216" s="4" t="s">
        <v>75</v>
      </c>
      <c r="B216" s="5">
        <v>45717</v>
      </c>
      <c r="C216" s="4" t="s">
        <v>27</v>
      </c>
      <c r="D216" s="4" t="s">
        <v>16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 s="4">
        <v>0</v>
      </c>
      <c r="L216">
        <v>4.7</v>
      </c>
      <c r="M216" s="4">
        <v>752321.72</v>
      </c>
      <c r="N216" s="4">
        <v>137788.51</v>
      </c>
      <c r="P216">
        <f t="shared" si="15"/>
        <v>0</v>
      </c>
      <c r="Q216">
        <f t="shared" si="16"/>
        <v>1</v>
      </c>
      <c r="S216">
        <f t="shared" si="17"/>
        <v>0</v>
      </c>
      <c r="T216" s="4">
        <f t="shared" si="18"/>
        <v>0</v>
      </c>
      <c r="U216">
        <f t="shared" si="19"/>
        <v>1</v>
      </c>
      <c r="X216" s="4"/>
    </row>
    <row r="217" spans="1:24">
      <c r="A217" s="4" t="s">
        <v>75</v>
      </c>
      <c r="B217" s="5">
        <v>45748</v>
      </c>
      <c r="C217" s="4" t="s">
        <v>27</v>
      </c>
      <c r="D217" s="4" t="s">
        <v>16</v>
      </c>
      <c r="E217" s="4">
        <v>47391.09</v>
      </c>
      <c r="F217" s="4">
        <v>11224</v>
      </c>
      <c r="G217" s="4">
        <v>0.14699999999999999</v>
      </c>
      <c r="H217" s="4">
        <v>25</v>
      </c>
      <c r="I217" s="4">
        <v>88.4</v>
      </c>
      <c r="J217" s="4">
        <v>2.44</v>
      </c>
      <c r="K217" s="4">
        <v>0</v>
      </c>
      <c r="L217">
        <v>4.9000000000000004</v>
      </c>
      <c r="M217" s="4">
        <v>836908.24</v>
      </c>
      <c r="N217" s="4">
        <v>141090.26</v>
      </c>
      <c r="P217">
        <f t="shared" si="15"/>
        <v>0</v>
      </c>
      <c r="Q217">
        <f t="shared" si="16"/>
        <v>1</v>
      </c>
      <c r="S217">
        <f t="shared" si="17"/>
        <v>0</v>
      </c>
      <c r="T217" s="4">
        <f t="shared" si="18"/>
        <v>0</v>
      </c>
      <c r="U217">
        <f t="shared" si="19"/>
        <v>1</v>
      </c>
      <c r="X217" s="4"/>
    </row>
    <row r="218" spans="1:24">
      <c r="A218" s="4" t="s">
        <v>76</v>
      </c>
      <c r="B218" s="5">
        <v>45658</v>
      </c>
      <c r="C218" s="4" t="s">
        <v>20</v>
      </c>
      <c r="D218" s="4" t="s">
        <v>21</v>
      </c>
      <c r="E218" s="4">
        <v>69180.539999999994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 s="4">
        <v>0</v>
      </c>
      <c r="L218">
        <v>3.3</v>
      </c>
      <c r="M218" s="4">
        <v>674289.1</v>
      </c>
      <c r="N218" s="4">
        <v>117773.79</v>
      </c>
      <c r="P218">
        <f t="shared" si="15"/>
        <v>0</v>
      </c>
      <c r="Q218">
        <f t="shared" si="16"/>
        <v>0</v>
      </c>
      <c r="S218">
        <f t="shared" si="17"/>
        <v>1</v>
      </c>
      <c r="T218" s="4">
        <f t="shared" si="18"/>
        <v>0</v>
      </c>
      <c r="U218">
        <f t="shared" si="19"/>
        <v>0</v>
      </c>
      <c r="X218" s="4"/>
    </row>
    <row r="219" spans="1:24">
      <c r="A219" s="4" t="s">
        <v>76</v>
      </c>
      <c r="B219" s="5">
        <v>45689</v>
      </c>
      <c r="C219" s="4" t="s">
        <v>20</v>
      </c>
      <c r="D219" s="4" t="s">
        <v>21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 s="4">
        <v>0</v>
      </c>
      <c r="L219">
        <v>3.9</v>
      </c>
      <c r="M219" s="4">
        <v>622892.42000000004</v>
      </c>
      <c r="N219" s="4">
        <v>101032.52</v>
      </c>
      <c r="P219">
        <f t="shared" si="15"/>
        <v>0</v>
      </c>
      <c r="Q219">
        <f t="shared" si="16"/>
        <v>0</v>
      </c>
      <c r="S219">
        <f t="shared" si="17"/>
        <v>1</v>
      </c>
      <c r="T219" s="4">
        <f t="shared" si="18"/>
        <v>0</v>
      </c>
      <c r="U219">
        <f t="shared" si="19"/>
        <v>0</v>
      </c>
      <c r="X219" s="4"/>
    </row>
    <row r="220" spans="1:24">
      <c r="A220" s="4" t="s">
        <v>76</v>
      </c>
      <c r="B220" s="5">
        <v>45717</v>
      </c>
      <c r="C220" s="4" t="s">
        <v>20</v>
      </c>
      <c r="D220" s="4" t="s">
        <v>21</v>
      </c>
      <c r="E220" s="4">
        <v>58785.33</v>
      </c>
      <c r="F220" s="4">
        <v>4467</v>
      </c>
      <c r="G220" s="4">
        <v>0.22900000000000001</v>
      </c>
      <c r="H220" s="4">
        <v>14</v>
      </c>
      <c r="I220" s="4">
        <v>90.7</v>
      </c>
      <c r="J220" s="4">
        <v>1.92</v>
      </c>
      <c r="K220" s="4">
        <v>0</v>
      </c>
      <c r="L220">
        <v>3.7</v>
      </c>
      <c r="M220" s="4">
        <v>673348.56</v>
      </c>
      <c r="N220" s="4">
        <v>69464.59</v>
      </c>
      <c r="P220">
        <f t="shared" si="15"/>
        <v>0</v>
      </c>
      <c r="Q220">
        <f t="shared" si="16"/>
        <v>0</v>
      </c>
      <c r="S220">
        <f t="shared" si="17"/>
        <v>1</v>
      </c>
      <c r="T220" s="4">
        <f t="shared" si="18"/>
        <v>0</v>
      </c>
      <c r="U220">
        <f t="shared" si="19"/>
        <v>0</v>
      </c>
      <c r="X220" s="4"/>
    </row>
    <row r="221" spans="1:24">
      <c r="A221" s="4" t="s">
        <v>76</v>
      </c>
      <c r="B221" s="5">
        <v>45748</v>
      </c>
      <c r="C221" s="4" t="s">
        <v>20</v>
      </c>
      <c r="D221" s="4" t="s">
        <v>21</v>
      </c>
      <c r="E221" s="4">
        <v>16451.849999999999</v>
      </c>
      <c r="F221" s="4">
        <v>4678</v>
      </c>
      <c r="G221" s="4">
        <v>0.13300000000000001</v>
      </c>
      <c r="H221" s="4">
        <v>11</v>
      </c>
      <c r="I221" s="4">
        <v>95.9</v>
      </c>
      <c r="J221" s="4">
        <v>3.1</v>
      </c>
      <c r="K221" s="4">
        <v>0</v>
      </c>
      <c r="L221">
        <v>3.9</v>
      </c>
      <c r="M221" s="4">
        <v>606278.30000000005</v>
      </c>
      <c r="N221" s="4">
        <v>102213.26</v>
      </c>
      <c r="P221">
        <f t="shared" si="15"/>
        <v>0</v>
      </c>
      <c r="Q221">
        <f t="shared" si="16"/>
        <v>0</v>
      </c>
      <c r="S221">
        <f t="shared" si="17"/>
        <v>1</v>
      </c>
      <c r="T221" s="4">
        <f t="shared" si="18"/>
        <v>0</v>
      </c>
      <c r="U221">
        <f t="shared" si="19"/>
        <v>0</v>
      </c>
      <c r="X221" s="4"/>
    </row>
    <row r="222" spans="1:24">
      <c r="A222" s="4" t="s">
        <v>77</v>
      </c>
      <c r="B222" s="5">
        <v>45658</v>
      </c>
      <c r="C222" s="4" t="s">
        <v>15</v>
      </c>
      <c r="D222" s="4" t="s">
        <v>18</v>
      </c>
      <c r="E222" s="4">
        <v>53367.73</v>
      </c>
      <c r="F222" s="4">
        <v>7291</v>
      </c>
      <c r="G222" s="4">
        <v>0.14599999999999999</v>
      </c>
      <c r="H222" s="4">
        <v>18</v>
      </c>
      <c r="I222" s="4">
        <v>90.6</v>
      </c>
      <c r="J222" s="4">
        <v>6.34</v>
      </c>
      <c r="K222" s="4">
        <v>1</v>
      </c>
      <c r="L222">
        <v>3.8</v>
      </c>
      <c r="M222" s="4">
        <v>712219.81</v>
      </c>
      <c r="N222" s="4">
        <v>85906.54</v>
      </c>
      <c r="P222">
        <f t="shared" si="15"/>
        <v>1</v>
      </c>
      <c r="Q222">
        <f t="shared" si="16"/>
        <v>0</v>
      </c>
      <c r="S222">
        <f t="shared" si="17"/>
        <v>0</v>
      </c>
      <c r="T222" s="4">
        <f t="shared" si="18"/>
        <v>0</v>
      </c>
      <c r="U222">
        <f t="shared" si="19"/>
        <v>0</v>
      </c>
      <c r="X222" s="4"/>
    </row>
    <row r="223" spans="1:24">
      <c r="A223" s="4" t="s">
        <v>77</v>
      </c>
      <c r="B223" s="5">
        <v>45689</v>
      </c>
      <c r="C223" s="4" t="s">
        <v>15</v>
      </c>
      <c r="D223" s="4" t="s">
        <v>18</v>
      </c>
      <c r="E223" s="4">
        <v>27194.639999999999</v>
      </c>
      <c r="F223" s="4">
        <v>7404</v>
      </c>
      <c r="G223" s="4">
        <v>8.7999999999999995E-2</v>
      </c>
      <c r="H223" s="4">
        <v>18</v>
      </c>
      <c r="I223" s="4">
        <v>90.2</v>
      </c>
      <c r="J223" s="4">
        <v>1.2</v>
      </c>
      <c r="K223" s="4">
        <v>0</v>
      </c>
      <c r="L223">
        <v>3.4</v>
      </c>
      <c r="M223" s="4">
        <v>672670.54</v>
      </c>
      <c r="N223" s="4">
        <v>132684.18</v>
      </c>
      <c r="P223">
        <f t="shared" si="15"/>
        <v>1</v>
      </c>
      <c r="Q223">
        <f t="shared" si="16"/>
        <v>0</v>
      </c>
      <c r="S223">
        <f t="shared" si="17"/>
        <v>0</v>
      </c>
      <c r="T223" s="4">
        <f t="shared" si="18"/>
        <v>0</v>
      </c>
      <c r="U223">
        <f t="shared" si="19"/>
        <v>0</v>
      </c>
      <c r="X223" s="4"/>
    </row>
    <row r="224" spans="1:24">
      <c r="A224" s="4" t="s">
        <v>77</v>
      </c>
      <c r="B224" s="5">
        <v>45717</v>
      </c>
      <c r="C224" s="4" t="s">
        <v>15</v>
      </c>
      <c r="D224" s="4" t="s">
        <v>18</v>
      </c>
      <c r="E224" s="4">
        <v>66962.740000000005</v>
      </c>
      <c r="F224" s="4">
        <v>7880</v>
      </c>
      <c r="G224" s="4">
        <v>0.11600000000000001</v>
      </c>
      <c r="H224" s="4">
        <v>19</v>
      </c>
      <c r="I224" s="4">
        <v>90.4</v>
      </c>
      <c r="J224" s="4">
        <v>4.5</v>
      </c>
      <c r="K224" s="4">
        <v>0</v>
      </c>
      <c r="L224">
        <v>3.3</v>
      </c>
      <c r="M224" s="4">
        <v>732667.92</v>
      </c>
      <c r="N224" s="4">
        <v>128654.46</v>
      </c>
      <c r="P224">
        <f t="shared" si="15"/>
        <v>1</v>
      </c>
      <c r="Q224">
        <f t="shared" si="16"/>
        <v>0</v>
      </c>
      <c r="S224">
        <f t="shared" si="17"/>
        <v>0</v>
      </c>
      <c r="T224" s="4">
        <f t="shared" si="18"/>
        <v>0</v>
      </c>
      <c r="U224">
        <f t="shared" si="19"/>
        <v>0</v>
      </c>
      <c r="X224" s="4"/>
    </row>
    <row r="225" spans="1:24">
      <c r="A225" s="4" t="s">
        <v>77</v>
      </c>
      <c r="B225" s="5">
        <v>45748</v>
      </c>
      <c r="C225" s="4" t="s">
        <v>15</v>
      </c>
      <c r="D225" s="4" t="s">
        <v>18</v>
      </c>
      <c r="E225" s="4">
        <v>73540.990000000005</v>
      </c>
      <c r="F225" s="4">
        <v>8773</v>
      </c>
      <c r="G225" s="4">
        <v>3.5000000000000003E-2</v>
      </c>
      <c r="H225" s="4">
        <v>21</v>
      </c>
      <c r="I225" s="4">
        <v>84.4</v>
      </c>
      <c r="J225" s="4">
        <v>6.68</v>
      </c>
      <c r="K225" s="4">
        <v>0</v>
      </c>
      <c r="L225">
        <v>3.6</v>
      </c>
      <c r="M225" s="4">
        <v>723531.4</v>
      </c>
      <c r="N225" s="4">
        <v>108794.85</v>
      </c>
      <c r="P225">
        <f t="shared" si="15"/>
        <v>1</v>
      </c>
      <c r="Q225">
        <f t="shared" si="16"/>
        <v>0</v>
      </c>
      <c r="S225">
        <f t="shared" si="17"/>
        <v>0</v>
      </c>
      <c r="T225" s="4">
        <f t="shared" si="18"/>
        <v>0</v>
      </c>
      <c r="U225">
        <f t="shared" si="19"/>
        <v>0</v>
      </c>
      <c r="X225" s="4"/>
    </row>
    <row r="226" spans="1:24">
      <c r="A226" s="4" t="s">
        <v>78</v>
      </c>
      <c r="B226" s="5">
        <v>45658</v>
      </c>
      <c r="C226" s="4" t="s">
        <v>15</v>
      </c>
      <c r="D226" s="4" t="s">
        <v>28</v>
      </c>
      <c r="E226" s="4">
        <v>68212.289999999994</v>
      </c>
      <c r="F226" s="4">
        <v>4713</v>
      </c>
      <c r="G226" s="4">
        <v>0.19800000000000001</v>
      </c>
      <c r="H226" s="4">
        <v>15</v>
      </c>
      <c r="I226" s="4">
        <v>82.6</v>
      </c>
      <c r="J226" s="4">
        <v>4.07</v>
      </c>
      <c r="K226" s="4">
        <v>1</v>
      </c>
      <c r="L226">
        <v>3</v>
      </c>
      <c r="M226" s="4">
        <v>641564.6</v>
      </c>
      <c r="N226" s="4">
        <v>90468.96</v>
      </c>
      <c r="P226">
        <f t="shared" si="15"/>
        <v>0</v>
      </c>
      <c r="Q226">
        <f t="shared" si="16"/>
        <v>0</v>
      </c>
      <c r="S226">
        <f t="shared" si="17"/>
        <v>0</v>
      </c>
      <c r="T226" s="4">
        <f t="shared" si="18"/>
        <v>0</v>
      </c>
      <c r="U226">
        <f t="shared" si="19"/>
        <v>0</v>
      </c>
      <c r="X226" s="4"/>
    </row>
    <row r="227" spans="1:24">
      <c r="A227" s="4" t="s">
        <v>78</v>
      </c>
      <c r="B227" s="5">
        <v>45689</v>
      </c>
      <c r="C227" s="4" t="s">
        <v>15</v>
      </c>
      <c r="D227" s="4" t="s">
        <v>28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 s="4">
        <v>0</v>
      </c>
      <c r="L227">
        <v>3.4</v>
      </c>
      <c r="M227" s="4">
        <v>536545.49</v>
      </c>
      <c r="N227" s="4">
        <v>97917.45</v>
      </c>
      <c r="P227">
        <f t="shared" si="15"/>
        <v>0</v>
      </c>
      <c r="Q227">
        <f t="shared" si="16"/>
        <v>0</v>
      </c>
      <c r="S227">
        <f t="shared" si="17"/>
        <v>0</v>
      </c>
      <c r="T227" s="4">
        <f t="shared" si="18"/>
        <v>0</v>
      </c>
      <c r="U227">
        <f t="shared" si="19"/>
        <v>0</v>
      </c>
      <c r="X227" s="4"/>
    </row>
    <row r="228" spans="1:24">
      <c r="A228" s="4" t="s">
        <v>78</v>
      </c>
      <c r="B228" s="5">
        <v>45717</v>
      </c>
      <c r="C228" s="4" t="s">
        <v>15</v>
      </c>
      <c r="D228" s="4" t="s">
        <v>28</v>
      </c>
      <c r="E228" s="4">
        <v>42932.02</v>
      </c>
      <c r="F228" s="4">
        <v>3872</v>
      </c>
      <c r="G228" s="4">
        <v>0.17100000000000001</v>
      </c>
      <c r="H228" s="4">
        <v>12</v>
      </c>
      <c r="I228" s="4">
        <v>83.2</v>
      </c>
      <c r="J228" s="4">
        <v>15.58</v>
      </c>
      <c r="K228" s="4">
        <v>0</v>
      </c>
      <c r="L228">
        <v>3.3</v>
      </c>
      <c r="M228" s="4">
        <v>527681.56000000006</v>
      </c>
      <c r="N228" s="4">
        <v>63153.05</v>
      </c>
      <c r="P228">
        <f t="shared" si="15"/>
        <v>0</v>
      </c>
      <c r="Q228">
        <f t="shared" si="16"/>
        <v>0</v>
      </c>
      <c r="S228">
        <f t="shared" si="17"/>
        <v>0</v>
      </c>
      <c r="T228" s="4">
        <f t="shared" si="18"/>
        <v>0</v>
      </c>
      <c r="U228">
        <f t="shared" si="19"/>
        <v>0</v>
      </c>
      <c r="X228" s="4"/>
    </row>
    <row r="229" spans="1:24">
      <c r="A229" s="4" t="s">
        <v>78</v>
      </c>
      <c r="B229" s="5">
        <v>45748</v>
      </c>
      <c r="C229" s="4" t="s">
        <v>15</v>
      </c>
      <c r="D229" s="4" t="s">
        <v>28</v>
      </c>
      <c r="E229" s="4">
        <v>39341.449999999997</v>
      </c>
      <c r="F229" s="4">
        <v>1375</v>
      </c>
      <c r="G229" s="4">
        <v>9.2999999999999999E-2</v>
      </c>
      <c r="H229" s="4">
        <v>5</v>
      </c>
      <c r="I229" s="4">
        <v>95</v>
      </c>
      <c r="J229" s="4">
        <v>5.32</v>
      </c>
      <c r="K229" s="4">
        <v>0</v>
      </c>
      <c r="L229">
        <v>3.9246794871794881</v>
      </c>
      <c r="M229" s="4">
        <v>529598.93999999994</v>
      </c>
      <c r="N229" s="4">
        <v>84334.33</v>
      </c>
      <c r="P229">
        <f t="shared" si="15"/>
        <v>0</v>
      </c>
      <c r="Q229">
        <f t="shared" si="16"/>
        <v>0</v>
      </c>
      <c r="S229">
        <f t="shared" si="17"/>
        <v>0</v>
      </c>
      <c r="T229" s="4">
        <f t="shared" si="18"/>
        <v>0</v>
      </c>
      <c r="U229">
        <f t="shared" si="19"/>
        <v>0</v>
      </c>
      <c r="X229" s="4"/>
    </row>
    <row r="230" spans="1:24">
      <c r="A230" s="4" t="s">
        <v>79</v>
      </c>
      <c r="B230" s="5">
        <v>45658</v>
      </c>
      <c r="C230" s="4" t="s">
        <v>15</v>
      </c>
      <c r="D230" s="4" t="s">
        <v>18</v>
      </c>
      <c r="E230" s="4">
        <v>37324.230000000003</v>
      </c>
      <c r="F230" s="4">
        <v>5957</v>
      </c>
      <c r="G230" s="4">
        <v>7.0999999999999994E-2</v>
      </c>
      <c r="H230" s="4">
        <v>12</v>
      </c>
      <c r="I230" s="4">
        <v>85.9</v>
      </c>
      <c r="J230" s="4">
        <v>0.37</v>
      </c>
      <c r="K230" s="4">
        <v>0</v>
      </c>
      <c r="L230">
        <v>3.8</v>
      </c>
      <c r="M230" s="4">
        <v>570963.31000000006</v>
      </c>
      <c r="N230" s="4">
        <v>87342.25</v>
      </c>
      <c r="P230">
        <f t="shared" si="15"/>
        <v>1</v>
      </c>
      <c r="Q230">
        <f t="shared" si="16"/>
        <v>0</v>
      </c>
      <c r="S230">
        <f t="shared" si="17"/>
        <v>0</v>
      </c>
      <c r="T230" s="4">
        <f t="shared" si="18"/>
        <v>0</v>
      </c>
      <c r="U230">
        <f t="shared" si="19"/>
        <v>0</v>
      </c>
      <c r="X230" s="4"/>
    </row>
    <row r="231" spans="1:24">
      <c r="A231" s="4" t="s">
        <v>79</v>
      </c>
      <c r="B231" s="5">
        <v>45689</v>
      </c>
      <c r="C231" s="4" t="s">
        <v>15</v>
      </c>
      <c r="D231" s="4" t="s">
        <v>18</v>
      </c>
      <c r="E231" s="4">
        <v>113736</v>
      </c>
      <c r="F231" s="4">
        <v>8961</v>
      </c>
      <c r="G231" s="4">
        <v>0.20200000000000001</v>
      </c>
      <c r="H231" s="4">
        <v>24</v>
      </c>
      <c r="I231" s="4">
        <v>86.2</v>
      </c>
      <c r="J231" s="4">
        <v>21.63</v>
      </c>
      <c r="K231" s="4">
        <v>0</v>
      </c>
      <c r="L231">
        <v>4</v>
      </c>
      <c r="M231" s="4">
        <v>870937.4</v>
      </c>
      <c r="N231" s="4">
        <v>175282.74</v>
      </c>
      <c r="P231">
        <f t="shared" si="15"/>
        <v>1</v>
      </c>
      <c r="Q231">
        <f t="shared" si="16"/>
        <v>0</v>
      </c>
      <c r="S231">
        <f t="shared" si="17"/>
        <v>0</v>
      </c>
      <c r="T231" s="4">
        <f t="shared" si="18"/>
        <v>0</v>
      </c>
      <c r="U231">
        <f t="shared" si="19"/>
        <v>0</v>
      </c>
      <c r="X231" s="4"/>
    </row>
    <row r="232" spans="1:24">
      <c r="A232" s="4" t="s">
        <v>79</v>
      </c>
      <c r="B232" s="5">
        <v>45717</v>
      </c>
      <c r="C232" s="4" t="s">
        <v>15</v>
      </c>
      <c r="D232" s="4" t="s">
        <v>18</v>
      </c>
      <c r="E232" s="4">
        <v>33173.949999999997</v>
      </c>
      <c r="F232" s="4">
        <v>6545</v>
      </c>
      <c r="G232" s="4">
        <v>0.16900000000000001</v>
      </c>
      <c r="H232" s="4">
        <v>15</v>
      </c>
      <c r="I232" s="4">
        <v>84.4</v>
      </c>
      <c r="J232" s="4">
        <v>2.48</v>
      </c>
      <c r="K232" s="4">
        <v>0</v>
      </c>
      <c r="L232">
        <v>3.9</v>
      </c>
      <c r="M232" s="4">
        <v>596969.27</v>
      </c>
      <c r="N232" s="4">
        <v>105669.51</v>
      </c>
      <c r="P232">
        <f t="shared" si="15"/>
        <v>1</v>
      </c>
      <c r="Q232">
        <f t="shared" si="16"/>
        <v>0</v>
      </c>
      <c r="S232">
        <f t="shared" si="17"/>
        <v>0</v>
      </c>
      <c r="T232" s="4">
        <f t="shared" si="18"/>
        <v>0</v>
      </c>
      <c r="U232">
        <f t="shared" si="19"/>
        <v>0</v>
      </c>
      <c r="X232" s="4"/>
    </row>
    <row r="233" spans="1:24">
      <c r="A233" s="4" t="s">
        <v>79</v>
      </c>
      <c r="B233" s="5">
        <v>45748</v>
      </c>
      <c r="C233" s="4" t="s">
        <v>15</v>
      </c>
      <c r="D233" s="4" t="s">
        <v>18</v>
      </c>
      <c r="E233" s="4">
        <v>25818.080000000002</v>
      </c>
      <c r="F233" s="4">
        <v>5457</v>
      </c>
      <c r="G233" s="4">
        <v>0</v>
      </c>
      <c r="H233" s="4">
        <v>11</v>
      </c>
      <c r="I233" s="4">
        <v>95.4</v>
      </c>
      <c r="J233" s="4">
        <v>4.5590445859872624</v>
      </c>
      <c r="K233" s="4">
        <v>0</v>
      </c>
      <c r="L233">
        <v>3.7</v>
      </c>
      <c r="M233" s="4">
        <v>647512.85</v>
      </c>
      <c r="N233" s="4">
        <v>153835.57</v>
      </c>
      <c r="P233">
        <f t="shared" si="15"/>
        <v>1</v>
      </c>
      <c r="Q233">
        <f t="shared" si="16"/>
        <v>0</v>
      </c>
      <c r="S233">
        <f t="shared" si="17"/>
        <v>0</v>
      </c>
      <c r="T233" s="4">
        <f t="shared" si="18"/>
        <v>0</v>
      </c>
      <c r="U233">
        <f t="shared" si="19"/>
        <v>0</v>
      </c>
      <c r="X233" s="4"/>
    </row>
    <row r="234" spans="1:24">
      <c r="A234" s="4" t="s">
        <v>80</v>
      </c>
      <c r="B234" s="5">
        <v>45658</v>
      </c>
      <c r="C234" s="4" t="s">
        <v>27</v>
      </c>
      <c r="D234" s="4" t="s">
        <v>16</v>
      </c>
      <c r="E234" s="4">
        <v>47241.919999999998</v>
      </c>
      <c r="F234" s="4">
        <v>4264</v>
      </c>
      <c r="G234" s="4">
        <v>6.9000000000000006E-2</v>
      </c>
      <c r="H234" s="4">
        <v>13</v>
      </c>
      <c r="I234" s="4">
        <v>95.3</v>
      </c>
      <c r="J234" s="4">
        <v>0.85</v>
      </c>
      <c r="K234" s="4">
        <v>0</v>
      </c>
      <c r="L234">
        <v>4.3</v>
      </c>
      <c r="M234" s="4">
        <v>658072.14</v>
      </c>
      <c r="N234" s="4">
        <v>110595.89</v>
      </c>
      <c r="P234">
        <f t="shared" si="15"/>
        <v>0</v>
      </c>
      <c r="Q234">
        <f t="shared" si="16"/>
        <v>1</v>
      </c>
      <c r="S234">
        <f t="shared" si="17"/>
        <v>0</v>
      </c>
      <c r="T234" s="4">
        <f t="shared" si="18"/>
        <v>0</v>
      </c>
      <c r="U234">
        <f t="shared" si="19"/>
        <v>1</v>
      </c>
      <c r="X234" s="4"/>
    </row>
    <row r="235" spans="1:24">
      <c r="A235" s="4" t="s">
        <v>80</v>
      </c>
      <c r="B235" s="5">
        <v>45689</v>
      </c>
      <c r="C235" s="4" t="s">
        <v>27</v>
      </c>
      <c r="D235" s="4" t="s">
        <v>16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 s="4">
        <v>0</v>
      </c>
      <c r="L235">
        <v>4</v>
      </c>
      <c r="M235" s="4">
        <v>723305.11</v>
      </c>
      <c r="N235" s="4">
        <v>128468.7</v>
      </c>
      <c r="P235">
        <f t="shared" si="15"/>
        <v>0</v>
      </c>
      <c r="Q235">
        <f t="shared" si="16"/>
        <v>1</v>
      </c>
      <c r="S235">
        <f t="shared" si="17"/>
        <v>0</v>
      </c>
      <c r="T235" s="4">
        <f t="shared" si="18"/>
        <v>0</v>
      </c>
      <c r="U235">
        <f t="shared" si="19"/>
        <v>1</v>
      </c>
      <c r="X235" s="4"/>
    </row>
    <row r="236" spans="1:24">
      <c r="A236" s="4" t="s">
        <v>80</v>
      </c>
      <c r="B236" s="5">
        <v>45717</v>
      </c>
      <c r="C236" s="4" t="s">
        <v>27</v>
      </c>
      <c r="D236" s="4" t="s">
        <v>16</v>
      </c>
      <c r="E236" s="4">
        <v>62582.71</v>
      </c>
      <c r="F236" s="4">
        <v>5479</v>
      </c>
      <c r="G236" s="4">
        <v>4.8000000000000001E-2</v>
      </c>
      <c r="H236" s="4">
        <v>16</v>
      </c>
      <c r="I236" s="4">
        <v>81.2</v>
      </c>
      <c r="J236" s="4">
        <v>1.46</v>
      </c>
      <c r="K236" s="4">
        <v>0</v>
      </c>
      <c r="L236">
        <v>4.5</v>
      </c>
      <c r="M236" s="4">
        <v>640666.53</v>
      </c>
      <c r="N236" s="4">
        <v>134919.16</v>
      </c>
      <c r="P236">
        <f t="shared" si="15"/>
        <v>0</v>
      </c>
      <c r="Q236">
        <f t="shared" si="16"/>
        <v>1</v>
      </c>
      <c r="S236">
        <f t="shared" si="17"/>
        <v>0</v>
      </c>
      <c r="T236" s="4">
        <f t="shared" si="18"/>
        <v>0</v>
      </c>
      <c r="U236">
        <f t="shared" si="19"/>
        <v>1</v>
      </c>
      <c r="X236" s="4"/>
    </row>
    <row r="237" spans="1:24">
      <c r="A237" s="4" t="s">
        <v>80</v>
      </c>
      <c r="B237" s="5">
        <v>45748</v>
      </c>
      <c r="C237" s="4" t="s">
        <v>27</v>
      </c>
      <c r="D237" s="4" t="s">
        <v>16</v>
      </c>
      <c r="E237" s="4">
        <v>47944.14</v>
      </c>
      <c r="F237" s="4">
        <v>6169</v>
      </c>
      <c r="G237" s="4">
        <v>0.11899999999999999</v>
      </c>
      <c r="H237" s="4">
        <v>17</v>
      </c>
      <c r="I237" s="4">
        <v>92.2</v>
      </c>
      <c r="J237" s="4">
        <v>3.02</v>
      </c>
      <c r="K237" s="4">
        <v>0</v>
      </c>
      <c r="L237">
        <v>4.0999999999999996</v>
      </c>
      <c r="M237" s="4">
        <v>670629.48</v>
      </c>
      <c r="N237" s="4">
        <v>100140.8</v>
      </c>
      <c r="P237">
        <f t="shared" si="15"/>
        <v>0</v>
      </c>
      <c r="Q237">
        <f t="shared" si="16"/>
        <v>1</v>
      </c>
      <c r="S237">
        <f t="shared" si="17"/>
        <v>0</v>
      </c>
      <c r="T237" s="4">
        <f t="shared" si="18"/>
        <v>0</v>
      </c>
      <c r="U237">
        <f t="shared" si="19"/>
        <v>1</v>
      </c>
      <c r="X237" s="4"/>
    </row>
    <row r="238" spans="1:24">
      <c r="A238" s="4" t="s">
        <v>81</v>
      </c>
      <c r="B238" s="5">
        <v>45658</v>
      </c>
      <c r="C238" s="4" t="s">
        <v>27</v>
      </c>
      <c r="D238" s="4" t="s">
        <v>28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 s="4">
        <v>0</v>
      </c>
      <c r="L238">
        <v>3.7</v>
      </c>
      <c r="M238" s="4">
        <v>721079.35</v>
      </c>
      <c r="N238" s="4">
        <v>115295.05</v>
      </c>
      <c r="P238">
        <f t="shared" si="15"/>
        <v>0</v>
      </c>
      <c r="Q238">
        <f t="shared" si="16"/>
        <v>0</v>
      </c>
      <c r="S238">
        <f t="shared" si="17"/>
        <v>0</v>
      </c>
      <c r="T238" s="4">
        <f t="shared" si="18"/>
        <v>0</v>
      </c>
      <c r="U238">
        <f t="shared" si="19"/>
        <v>1</v>
      </c>
      <c r="X238" s="4"/>
    </row>
    <row r="239" spans="1:24">
      <c r="A239" s="4" t="s">
        <v>81</v>
      </c>
      <c r="B239" s="5">
        <v>45689</v>
      </c>
      <c r="C239" s="4" t="s">
        <v>27</v>
      </c>
      <c r="D239" s="4" t="s">
        <v>28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 s="4">
        <v>0</v>
      </c>
      <c r="L239">
        <v>3.4</v>
      </c>
      <c r="M239" s="4">
        <v>810355.02</v>
      </c>
      <c r="N239" s="4">
        <v>131510</v>
      </c>
      <c r="P239">
        <f t="shared" si="15"/>
        <v>0</v>
      </c>
      <c r="Q239">
        <f t="shared" si="16"/>
        <v>0</v>
      </c>
      <c r="S239">
        <f t="shared" si="17"/>
        <v>0</v>
      </c>
      <c r="T239" s="4">
        <f t="shared" si="18"/>
        <v>0</v>
      </c>
      <c r="U239">
        <f t="shared" si="19"/>
        <v>1</v>
      </c>
      <c r="X239" s="4"/>
    </row>
    <row r="240" spans="1:24">
      <c r="A240" s="4" t="s">
        <v>81</v>
      </c>
      <c r="B240" s="5">
        <v>45717</v>
      </c>
      <c r="C240" s="4" t="s">
        <v>27</v>
      </c>
      <c r="D240" s="4" t="s">
        <v>28</v>
      </c>
      <c r="E240" s="4">
        <v>59060.05</v>
      </c>
      <c r="F240" s="4">
        <v>9702</v>
      </c>
      <c r="G240" s="4">
        <v>0.20100000000000001</v>
      </c>
      <c r="H240" s="4">
        <v>23</v>
      </c>
      <c r="I240" s="4">
        <v>80.900000000000006</v>
      </c>
      <c r="J240" s="4">
        <v>6.96</v>
      </c>
      <c r="K240" s="4">
        <v>0</v>
      </c>
      <c r="L240">
        <v>3.2</v>
      </c>
      <c r="M240" s="4">
        <v>761919.25</v>
      </c>
      <c r="N240" s="4">
        <v>111893.06</v>
      </c>
      <c r="P240">
        <f t="shared" si="15"/>
        <v>0</v>
      </c>
      <c r="Q240">
        <f t="shared" si="16"/>
        <v>0</v>
      </c>
      <c r="S240">
        <f t="shared" si="17"/>
        <v>0</v>
      </c>
      <c r="T240" s="4">
        <f t="shared" si="18"/>
        <v>0</v>
      </c>
      <c r="U240">
        <f t="shared" si="19"/>
        <v>1</v>
      </c>
      <c r="X240" s="4"/>
    </row>
    <row r="241" spans="1:24">
      <c r="A241" s="4" t="s">
        <v>81</v>
      </c>
      <c r="B241" s="5">
        <v>45748</v>
      </c>
      <c r="C241" s="4" t="s">
        <v>27</v>
      </c>
      <c r="D241" s="4" t="s">
        <v>28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 s="4">
        <v>0</v>
      </c>
      <c r="L241">
        <v>3.3</v>
      </c>
      <c r="M241" s="4">
        <v>737070.18</v>
      </c>
      <c r="N241" s="4">
        <v>117593.97</v>
      </c>
      <c r="P241">
        <f t="shared" si="15"/>
        <v>0</v>
      </c>
      <c r="Q241">
        <f t="shared" si="16"/>
        <v>0</v>
      </c>
      <c r="S241">
        <f t="shared" si="17"/>
        <v>0</v>
      </c>
      <c r="T241" s="4">
        <f t="shared" si="18"/>
        <v>0</v>
      </c>
      <c r="U241">
        <f t="shared" si="19"/>
        <v>1</v>
      </c>
      <c r="X241" s="4"/>
    </row>
    <row r="242" spans="1:24">
      <c r="A242" s="4" t="s">
        <v>82</v>
      </c>
      <c r="B242" s="5">
        <v>45658</v>
      </c>
      <c r="C242" s="4" t="s">
        <v>24</v>
      </c>
      <c r="D242" s="4" t="s">
        <v>21</v>
      </c>
      <c r="E242" s="4">
        <v>69900.12</v>
      </c>
      <c r="F242" s="4">
        <v>8055</v>
      </c>
      <c r="G242" s="4">
        <v>0.28100000000000003</v>
      </c>
      <c r="H242" s="4">
        <v>22</v>
      </c>
      <c r="I242" s="4">
        <v>85.6</v>
      </c>
      <c r="J242" s="4">
        <v>10.68</v>
      </c>
      <c r="K242" s="4">
        <v>1</v>
      </c>
      <c r="L242">
        <v>2.9</v>
      </c>
      <c r="M242" s="4">
        <v>776992.93</v>
      </c>
      <c r="N242" s="4">
        <v>101598.32</v>
      </c>
      <c r="P242">
        <f t="shared" si="15"/>
        <v>0</v>
      </c>
      <c r="Q242">
        <f t="shared" si="16"/>
        <v>0</v>
      </c>
      <c r="S242">
        <f t="shared" si="17"/>
        <v>0</v>
      </c>
      <c r="T242" s="4">
        <f t="shared" si="18"/>
        <v>1</v>
      </c>
      <c r="U242">
        <f t="shared" si="19"/>
        <v>0</v>
      </c>
      <c r="X242" s="4"/>
    </row>
    <row r="243" spans="1:24">
      <c r="A243" s="4" t="s">
        <v>82</v>
      </c>
      <c r="B243" s="5">
        <v>45689</v>
      </c>
      <c r="C243" s="4" t="s">
        <v>24</v>
      </c>
      <c r="D243" s="4" t="s">
        <v>21</v>
      </c>
      <c r="E243" s="4">
        <v>51781.599999999999</v>
      </c>
      <c r="F243" s="4">
        <v>5648</v>
      </c>
      <c r="G243" s="4">
        <v>5.8999999999999997E-2</v>
      </c>
      <c r="H243" s="4">
        <v>13</v>
      </c>
      <c r="I243" s="4">
        <v>85.5</v>
      </c>
      <c r="J243" s="4">
        <v>4.04</v>
      </c>
      <c r="K243" s="4">
        <v>0</v>
      </c>
      <c r="L243">
        <v>3.7</v>
      </c>
      <c r="M243" s="4">
        <v>676337.41</v>
      </c>
      <c r="N243" s="4">
        <v>104355.77</v>
      </c>
      <c r="P243">
        <f t="shared" si="15"/>
        <v>0</v>
      </c>
      <c r="Q243">
        <f t="shared" si="16"/>
        <v>0</v>
      </c>
      <c r="S243">
        <f t="shared" si="17"/>
        <v>0</v>
      </c>
      <c r="T243" s="4">
        <f t="shared" si="18"/>
        <v>1</v>
      </c>
      <c r="U243">
        <f t="shared" si="19"/>
        <v>0</v>
      </c>
      <c r="X243" s="4"/>
    </row>
    <row r="244" spans="1:24">
      <c r="A244" s="4" t="s">
        <v>82</v>
      </c>
      <c r="B244" s="5">
        <v>45717</v>
      </c>
      <c r="C244" s="4" t="s">
        <v>24</v>
      </c>
      <c r="D244" s="4" t="s">
        <v>21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 s="4">
        <v>0</v>
      </c>
      <c r="L244">
        <v>3.5</v>
      </c>
      <c r="M244" s="4">
        <v>828219.67</v>
      </c>
      <c r="N244" s="4">
        <v>179806.87</v>
      </c>
      <c r="P244">
        <f t="shared" si="15"/>
        <v>0</v>
      </c>
      <c r="Q244">
        <f t="shared" si="16"/>
        <v>0</v>
      </c>
      <c r="S244">
        <f t="shared" si="17"/>
        <v>0</v>
      </c>
      <c r="T244" s="4">
        <f t="shared" si="18"/>
        <v>1</v>
      </c>
      <c r="U244">
        <f t="shared" si="19"/>
        <v>0</v>
      </c>
      <c r="X244" s="4"/>
    </row>
    <row r="245" spans="1:24">
      <c r="A245" s="4" t="s">
        <v>82</v>
      </c>
      <c r="B245" s="5">
        <v>45748</v>
      </c>
      <c r="C245" s="4" t="s">
        <v>24</v>
      </c>
      <c r="D245" s="4" t="s">
        <v>21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 s="4">
        <v>0</v>
      </c>
      <c r="L245">
        <v>3</v>
      </c>
      <c r="M245" s="4">
        <v>763159.92</v>
      </c>
      <c r="N245" s="4">
        <v>177104.87</v>
      </c>
      <c r="P245">
        <f t="shared" si="15"/>
        <v>0</v>
      </c>
      <c r="Q245">
        <f t="shared" si="16"/>
        <v>0</v>
      </c>
      <c r="S245">
        <f t="shared" si="17"/>
        <v>0</v>
      </c>
      <c r="T245" s="4">
        <f t="shared" si="18"/>
        <v>1</v>
      </c>
      <c r="U245">
        <f t="shared" si="19"/>
        <v>0</v>
      </c>
      <c r="X245" s="4"/>
    </row>
    <row r="246" spans="1:24">
      <c r="A246" s="4" t="s">
        <v>83</v>
      </c>
      <c r="B246" s="5">
        <v>45658</v>
      </c>
      <c r="C246" s="4" t="s">
        <v>15</v>
      </c>
      <c r="D246" s="4" t="s">
        <v>18</v>
      </c>
      <c r="E246" s="4">
        <v>76942.2</v>
      </c>
      <c r="F246" s="4">
        <v>8934</v>
      </c>
      <c r="G246" s="4">
        <v>8.4000000000000005E-2</v>
      </c>
      <c r="H246" s="4">
        <v>20</v>
      </c>
      <c r="I246" s="4">
        <v>91</v>
      </c>
      <c r="J246" s="4">
        <v>0.95</v>
      </c>
      <c r="K246" s="4">
        <v>0</v>
      </c>
      <c r="L246">
        <v>3.2</v>
      </c>
      <c r="M246" s="4">
        <v>802001.68</v>
      </c>
      <c r="N246" s="4">
        <v>159715.82</v>
      </c>
      <c r="P246">
        <f t="shared" si="15"/>
        <v>1</v>
      </c>
      <c r="Q246">
        <f t="shared" si="16"/>
        <v>0</v>
      </c>
      <c r="S246">
        <f t="shared" si="17"/>
        <v>0</v>
      </c>
      <c r="T246" s="4">
        <f t="shared" si="18"/>
        <v>0</v>
      </c>
      <c r="U246">
        <f t="shared" si="19"/>
        <v>0</v>
      </c>
      <c r="X246" s="4"/>
    </row>
    <row r="247" spans="1:24">
      <c r="A247" s="4" t="s">
        <v>83</v>
      </c>
      <c r="B247" s="5">
        <v>45689</v>
      </c>
      <c r="C247" s="4" t="s">
        <v>15</v>
      </c>
      <c r="D247" s="4" t="s">
        <v>18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 s="4">
        <v>0</v>
      </c>
      <c r="L247">
        <v>3.4</v>
      </c>
      <c r="M247" s="4">
        <v>750471.34</v>
      </c>
      <c r="N247" s="4">
        <v>133788.04</v>
      </c>
      <c r="P247">
        <f t="shared" si="15"/>
        <v>1</v>
      </c>
      <c r="Q247">
        <f t="shared" si="16"/>
        <v>0</v>
      </c>
      <c r="S247">
        <f t="shared" si="17"/>
        <v>0</v>
      </c>
      <c r="T247" s="4">
        <f t="shared" si="18"/>
        <v>0</v>
      </c>
      <c r="U247">
        <f t="shared" si="19"/>
        <v>0</v>
      </c>
      <c r="X247" s="4"/>
    </row>
    <row r="248" spans="1:24">
      <c r="A248" s="4" t="s">
        <v>83</v>
      </c>
      <c r="B248" s="5">
        <v>45717</v>
      </c>
      <c r="C248" s="4" t="s">
        <v>15</v>
      </c>
      <c r="D248" s="4" t="s">
        <v>18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 s="4">
        <v>0</v>
      </c>
      <c r="L248">
        <v>3.1</v>
      </c>
      <c r="M248" s="4">
        <v>679230.86</v>
      </c>
      <c r="N248" s="4">
        <v>106927.58</v>
      </c>
      <c r="P248">
        <f t="shared" si="15"/>
        <v>1</v>
      </c>
      <c r="Q248">
        <f t="shared" si="16"/>
        <v>0</v>
      </c>
      <c r="S248">
        <f t="shared" si="17"/>
        <v>0</v>
      </c>
      <c r="T248" s="4">
        <f t="shared" si="18"/>
        <v>0</v>
      </c>
      <c r="U248">
        <f t="shared" si="19"/>
        <v>0</v>
      </c>
      <c r="X248" s="4"/>
    </row>
    <row r="249" spans="1:24">
      <c r="A249" s="4" t="s">
        <v>83</v>
      </c>
      <c r="B249" s="5">
        <v>45748</v>
      </c>
      <c r="C249" s="4" t="s">
        <v>15</v>
      </c>
      <c r="D249" s="4" t="s">
        <v>18</v>
      </c>
      <c r="E249" s="4">
        <v>21536.18</v>
      </c>
      <c r="F249" s="4">
        <v>8119</v>
      </c>
      <c r="G249" s="4">
        <v>0.22700000000000001</v>
      </c>
      <c r="H249" s="4">
        <v>20</v>
      </c>
      <c r="I249" s="4">
        <v>90.4</v>
      </c>
      <c r="J249" s="4">
        <v>1.7</v>
      </c>
      <c r="K249" s="4">
        <v>0</v>
      </c>
      <c r="L249">
        <v>3.3</v>
      </c>
      <c r="M249" s="4">
        <v>679888.74</v>
      </c>
      <c r="N249" s="4">
        <v>83406.89</v>
      </c>
      <c r="P249">
        <f t="shared" si="15"/>
        <v>1</v>
      </c>
      <c r="Q249">
        <f t="shared" si="16"/>
        <v>0</v>
      </c>
      <c r="S249">
        <f t="shared" si="17"/>
        <v>0</v>
      </c>
      <c r="T249" s="4">
        <f t="shared" si="18"/>
        <v>0</v>
      </c>
      <c r="U249">
        <f t="shared" si="19"/>
        <v>0</v>
      </c>
      <c r="X249" s="4"/>
    </row>
    <row r="250" spans="1:24">
      <c r="A250" s="4" t="s">
        <v>84</v>
      </c>
      <c r="B250" s="5">
        <v>45658</v>
      </c>
      <c r="C250" s="4" t="s">
        <v>20</v>
      </c>
      <c r="D250" s="4" t="s">
        <v>18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J250" s="4">
        <v>4.5590445859872624</v>
      </c>
      <c r="K250" s="4">
        <v>0</v>
      </c>
      <c r="L250">
        <v>3.8</v>
      </c>
      <c r="M250" s="4">
        <v>606783.67000000004</v>
      </c>
      <c r="N250" s="4">
        <v>74515.87</v>
      </c>
      <c r="P250">
        <f t="shared" si="15"/>
        <v>1</v>
      </c>
      <c r="Q250">
        <f t="shared" si="16"/>
        <v>0</v>
      </c>
      <c r="S250">
        <f t="shared" si="17"/>
        <v>1</v>
      </c>
      <c r="T250" s="4">
        <f t="shared" si="18"/>
        <v>0</v>
      </c>
      <c r="U250">
        <f t="shared" si="19"/>
        <v>0</v>
      </c>
      <c r="X250" s="4"/>
    </row>
    <row r="251" spans="1:24">
      <c r="A251" s="4" t="s">
        <v>84</v>
      </c>
      <c r="B251" s="5">
        <v>45689</v>
      </c>
      <c r="C251" s="4" t="s">
        <v>20</v>
      </c>
      <c r="D251" s="4" t="s">
        <v>18</v>
      </c>
      <c r="E251" s="4">
        <v>72932.55</v>
      </c>
      <c r="F251" s="4">
        <v>5765</v>
      </c>
      <c r="G251" s="4">
        <v>2.5999999999999999E-2</v>
      </c>
      <c r="H251" s="4">
        <v>17</v>
      </c>
      <c r="I251" s="4">
        <v>81.8</v>
      </c>
      <c r="J251" s="4">
        <v>5.0999999999999996</v>
      </c>
      <c r="K251" s="4">
        <v>0</v>
      </c>
      <c r="L251">
        <v>3.6</v>
      </c>
      <c r="M251" s="4">
        <v>642751.42000000004</v>
      </c>
      <c r="N251" s="4">
        <v>131942.15</v>
      </c>
      <c r="P251">
        <f t="shared" si="15"/>
        <v>1</v>
      </c>
      <c r="Q251">
        <f t="shared" si="16"/>
        <v>0</v>
      </c>
      <c r="S251">
        <f t="shared" si="17"/>
        <v>1</v>
      </c>
      <c r="T251" s="4">
        <f t="shared" si="18"/>
        <v>0</v>
      </c>
      <c r="U251">
        <f t="shared" si="19"/>
        <v>0</v>
      </c>
      <c r="X251" s="4"/>
    </row>
    <row r="252" spans="1:24">
      <c r="A252" s="4" t="s">
        <v>84</v>
      </c>
      <c r="B252" s="5">
        <v>45717</v>
      </c>
      <c r="C252" s="4" t="s">
        <v>20</v>
      </c>
      <c r="D252" s="4" t="s">
        <v>18</v>
      </c>
      <c r="E252" s="4">
        <v>38361.93</v>
      </c>
      <c r="F252" s="4">
        <v>6322</v>
      </c>
      <c r="G252" s="4">
        <v>0.27300000000000002</v>
      </c>
      <c r="H252" s="4">
        <v>15</v>
      </c>
      <c r="I252" s="4">
        <v>88.4</v>
      </c>
      <c r="J252" s="4">
        <v>0.83</v>
      </c>
      <c r="K252" s="4">
        <v>0</v>
      </c>
      <c r="L252">
        <v>4</v>
      </c>
      <c r="M252" s="4">
        <v>647953.78</v>
      </c>
      <c r="N252" s="4">
        <v>118497.43</v>
      </c>
      <c r="P252">
        <f t="shared" si="15"/>
        <v>1</v>
      </c>
      <c r="Q252">
        <f t="shared" si="16"/>
        <v>0</v>
      </c>
      <c r="S252">
        <f t="shared" si="17"/>
        <v>1</v>
      </c>
      <c r="T252" s="4">
        <f t="shared" si="18"/>
        <v>0</v>
      </c>
      <c r="U252">
        <f t="shared" si="19"/>
        <v>0</v>
      </c>
      <c r="X252" s="4"/>
    </row>
    <row r="253" spans="1:24">
      <c r="A253" s="4" t="s">
        <v>84</v>
      </c>
      <c r="B253" s="5">
        <v>45748</v>
      </c>
      <c r="C253" s="4" t="s">
        <v>20</v>
      </c>
      <c r="D253" s="4" t="s">
        <v>18</v>
      </c>
      <c r="E253" s="4">
        <v>97480.94</v>
      </c>
      <c r="F253" s="4">
        <v>6840</v>
      </c>
      <c r="G253" s="4">
        <v>8.6999999999999994E-2</v>
      </c>
      <c r="H253" s="4">
        <v>14</v>
      </c>
      <c r="I253" s="4">
        <v>79.2</v>
      </c>
      <c r="J253" s="4">
        <v>1.1399999999999999</v>
      </c>
      <c r="K253" s="4">
        <v>0</v>
      </c>
      <c r="L253">
        <v>4</v>
      </c>
      <c r="M253" s="4">
        <v>729440.45</v>
      </c>
      <c r="N253" s="4">
        <v>87614.29</v>
      </c>
      <c r="P253">
        <f t="shared" si="15"/>
        <v>1</v>
      </c>
      <c r="Q253">
        <f t="shared" si="16"/>
        <v>0</v>
      </c>
      <c r="S253">
        <f t="shared" si="17"/>
        <v>1</v>
      </c>
      <c r="T253" s="4">
        <f t="shared" si="18"/>
        <v>0</v>
      </c>
      <c r="U253">
        <f t="shared" si="19"/>
        <v>0</v>
      </c>
      <c r="X253" s="4"/>
    </row>
    <row r="254" spans="1:24">
      <c r="A254" s="4" t="s">
        <v>85</v>
      </c>
      <c r="B254" s="5">
        <v>45658</v>
      </c>
      <c r="C254" s="4" t="s">
        <v>24</v>
      </c>
      <c r="D254" s="4" t="s">
        <v>21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9.5399999999999991</v>
      </c>
      <c r="K254" s="4">
        <v>0</v>
      </c>
      <c r="L254">
        <v>3.7</v>
      </c>
      <c r="M254" s="4">
        <v>764949</v>
      </c>
      <c r="N254" s="4">
        <v>148322.43</v>
      </c>
      <c r="P254">
        <f t="shared" si="15"/>
        <v>0</v>
      </c>
      <c r="Q254">
        <f t="shared" si="16"/>
        <v>0</v>
      </c>
      <c r="S254">
        <f t="shared" si="17"/>
        <v>0</v>
      </c>
      <c r="T254" s="4">
        <f t="shared" si="18"/>
        <v>1</v>
      </c>
      <c r="U254">
        <f t="shared" si="19"/>
        <v>0</v>
      </c>
      <c r="X254" s="4"/>
    </row>
    <row r="255" spans="1:24">
      <c r="A255" s="4" t="s">
        <v>85</v>
      </c>
      <c r="B255" s="5">
        <v>45689</v>
      </c>
      <c r="C255" s="4" t="s">
        <v>24</v>
      </c>
      <c r="D255" s="4" t="s">
        <v>21</v>
      </c>
      <c r="E255" s="4">
        <v>63582.11</v>
      </c>
      <c r="F255" s="4">
        <v>6856</v>
      </c>
      <c r="G255" s="4">
        <v>7.3999999999999996E-2</v>
      </c>
      <c r="H255" s="4">
        <v>17</v>
      </c>
      <c r="I255" s="4">
        <v>89.5</v>
      </c>
      <c r="J255" s="4">
        <v>5.48</v>
      </c>
      <c r="K255" s="4">
        <v>0</v>
      </c>
      <c r="L255">
        <v>3.2</v>
      </c>
      <c r="M255" s="4">
        <v>799046.94</v>
      </c>
      <c r="N255" s="4">
        <v>144553.64000000001</v>
      </c>
      <c r="P255">
        <f t="shared" si="15"/>
        <v>0</v>
      </c>
      <c r="Q255">
        <f t="shared" si="16"/>
        <v>0</v>
      </c>
      <c r="S255">
        <f t="shared" si="17"/>
        <v>0</v>
      </c>
      <c r="T255" s="4">
        <f t="shared" si="18"/>
        <v>1</v>
      </c>
      <c r="U255">
        <f t="shared" si="19"/>
        <v>0</v>
      </c>
      <c r="X255" s="4"/>
    </row>
    <row r="256" spans="1:24">
      <c r="A256" s="4" t="s">
        <v>85</v>
      </c>
      <c r="B256" s="5">
        <v>45717</v>
      </c>
      <c r="C256" s="4" t="s">
        <v>24</v>
      </c>
      <c r="D256" s="4" t="s">
        <v>21</v>
      </c>
      <c r="E256" s="4">
        <v>75412.740000000005</v>
      </c>
      <c r="F256" s="4">
        <v>5641</v>
      </c>
      <c r="G256" s="4">
        <v>5.8999999999999997E-2</v>
      </c>
      <c r="H256" s="4">
        <v>13</v>
      </c>
      <c r="I256" s="4">
        <v>87.9</v>
      </c>
      <c r="J256" s="4">
        <v>0.84</v>
      </c>
      <c r="K256" s="4">
        <v>0</v>
      </c>
      <c r="L256">
        <v>3.6</v>
      </c>
      <c r="M256" s="4">
        <v>720079.54</v>
      </c>
      <c r="N256" s="4">
        <v>119499.47</v>
      </c>
      <c r="P256">
        <f t="shared" si="15"/>
        <v>0</v>
      </c>
      <c r="Q256">
        <f t="shared" si="16"/>
        <v>0</v>
      </c>
      <c r="S256">
        <f t="shared" si="17"/>
        <v>0</v>
      </c>
      <c r="T256" s="4">
        <f t="shared" si="18"/>
        <v>1</v>
      </c>
      <c r="U256">
        <f t="shared" si="19"/>
        <v>0</v>
      </c>
      <c r="X256" s="4"/>
    </row>
    <row r="257" spans="1:24">
      <c r="A257" s="4" t="s">
        <v>85</v>
      </c>
      <c r="B257" s="5">
        <v>45748</v>
      </c>
      <c r="C257" s="4" t="s">
        <v>24</v>
      </c>
      <c r="D257" s="4" t="s">
        <v>21</v>
      </c>
      <c r="E257" s="4">
        <v>36290.080000000002</v>
      </c>
      <c r="F257" s="4">
        <v>5787</v>
      </c>
      <c r="G257" s="4">
        <v>0</v>
      </c>
      <c r="H257" s="4">
        <v>17</v>
      </c>
      <c r="I257" s="4">
        <v>88.3</v>
      </c>
      <c r="J257" s="4">
        <v>4.1900000000000004</v>
      </c>
      <c r="K257" s="4">
        <v>0</v>
      </c>
      <c r="L257">
        <v>4.0999999999999996</v>
      </c>
      <c r="M257" s="4">
        <v>612390.14</v>
      </c>
      <c r="N257" s="4">
        <v>108985.74</v>
      </c>
      <c r="P257">
        <f t="shared" si="15"/>
        <v>0</v>
      </c>
      <c r="Q257">
        <f t="shared" si="16"/>
        <v>0</v>
      </c>
      <c r="S257">
        <f t="shared" si="17"/>
        <v>0</v>
      </c>
      <c r="T257" s="4">
        <f t="shared" si="18"/>
        <v>1</v>
      </c>
      <c r="U257">
        <f t="shared" si="19"/>
        <v>0</v>
      </c>
      <c r="X257" s="4"/>
    </row>
    <row r="258" spans="1:24">
      <c r="A258" s="4" t="s">
        <v>86</v>
      </c>
      <c r="B258" s="5">
        <v>45658</v>
      </c>
      <c r="C258" s="4" t="s">
        <v>24</v>
      </c>
      <c r="D258" s="4" t="s">
        <v>28</v>
      </c>
      <c r="E258" s="4">
        <v>65272.58</v>
      </c>
      <c r="F258" s="4">
        <v>8165</v>
      </c>
      <c r="G258" s="4">
        <v>5.0999999999999997E-2</v>
      </c>
      <c r="H258" s="4">
        <v>19</v>
      </c>
      <c r="I258" s="4">
        <v>87.8</v>
      </c>
      <c r="J258" s="4">
        <v>1.26</v>
      </c>
      <c r="K258" s="4">
        <v>1</v>
      </c>
      <c r="L258">
        <v>4.3</v>
      </c>
      <c r="M258" s="4">
        <v>840108.12</v>
      </c>
      <c r="N258" s="4">
        <v>126587.01</v>
      </c>
      <c r="P258">
        <f t="shared" ref="P258:P321" si="20">IF(D258="High Street",1,0)</f>
        <v>0</v>
      </c>
      <c r="Q258">
        <f t="shared" ref="Q258:Q321" si="21">IF(D258="Residential",1,0)</f>
        <v>0</v>
      </c>
      <c r="S258">
        <f t="shared" ref="S258:S321" si="22">IF(C258="North",1,0)</f>
        <v>0</v>
      </c>
      <c r="T258" s="4">
        <f t="shared" ref="T258:T321" si="23">IF(C258="South",1,0)</f>
        <v>1</v>
      </c>
      <c r="U258">
        <f t="shared" ref="U258:U321" si="24">IF(C258="West",1,0)</f>
        <v>0</v>
      </c>
      <c r="X258" s="4"/>
    </row>
    <row r="259" spans="1:24">
      <c r="A259" s="4" t="s">
        <v>86</v>
      </c>
      <c r="B259" s="5">
        <v>45689</v>
      </c>
      <c r="C259" s="4" t="s">
        <v>24</v>
      </c>
      <c r="D259" s="4" t="s">
        <v>28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 s="4">
        <v>0</v>
      </c>
      <c r="L259">
        <v>4.5999999999999996</v>
      </c>
      <c r="M259" s="4">
        <v>697888.09</v>
      </c>
      <c r="N259" s="4">
        <v>116249.87</v>
      </c>
      <c r="P259">
        <f t="shared" si="20"/>
        <v>0</v>
      </c>
      <c r="Q259">
        <f t="shared" si="21"/>
        <v>0</v>
      </c>
      <c r="S259">
        <f t="shared" si="22"/>
        <v>0</v>
      </c>
      <c r="T259" s="4">
        <f t="shared" si="23"/>
        <v>1</v>
      </c>
      <c r="U259">
        <f t="shared" si="24"/>
        <v>0</v>
      </c>
      <c r="X259" s="4"/>
    </row>
    <row r="260" spans="1:24">
      <c r="A260" s="4" t="s">
        <v>86</v>
      </c>
      <c r="B260" s="5">
        <v>45717</v>
      </c>
      <c r="C260" s="4" t="s">
        <v>24</v>
      </c>
      <c r="D260" s="4" t="s">
        <v>28</v>
      </c>
      <c r="E260" s="4">
        <v>44189.34</v>
      </c>
      <c r="F260" s="4">
        <v>8634</v>
      </c>
      <c r="G260" s="4">
        <v>0.14299999999999999</v>
      </c>
      <c r="H260" s="4">
        <v>19</v>
      </c>
      <c r="I260" s="4">
        <v>87.5</v>
      </c>
      <c r="J260" s="4">
        <v>3.69</v>
      </c>
      <c r="K260" s="4">
        <v>0</v>
      </c>
      <c r="L260">
        <v>4.4000000000000004</v>
      </c>
      <c r="M260" s="4">
        <v>746115.59</v>
      </c>
      <c r="N260" s="4">
        <v>94662.96</v>
      </c>
      <c r="P260">
        <f t="shared" si="20"/>
        <v>0</v>
      </c>
      <c r="Q260">
        <f t="shared" si="21"/>
        <v>0</v>
      </c>
      <c r="S260">
        <f t="shared" si="22"/>
        <v>0</v>
      </c>
      <c r="T260" s="4">
        <f t="shared" si="23"/>
        <v>1</v>
      </c>
      <c r="U260">
        <f t="shared" si="24"/>
        <v>0</v>
      </c>
      <c r="X260" s="4"/>
    </row>
    <row r="261" spans="1:24">
      <c r="A261" s="4" t="s">
        <v>86</v>
      </c>
      <c r="B261" s="5">
        <v>45748</v>
      </c>
      <c r="C261" s="4" t="s">
        <v>24</v>
      </c>
      <c r="D261" s="4" t="s">
        <v>28</v>
      </c>
      <c r="E261" s="4">
        <v>38397.82</v>
      </c>
      <c r="F261" s="4">
        <v>7836</v>
      </c>
      <c r="G261" s="4">
        <v>7.0000000000000001E-3</v>
      </c>
      <c r="H261" s="4">
        <v>21</v>
      </c>
      <c r="I261" s="4">
        <v>92.2</v>
      </c>
      <c r="J261" s="4">
        <v>1.82</v>
      </c>
      <c r="K261" s="4">
        <v>0</v>
      </c>
      <c r="L261">
        <v>3.6</v>
      </c>
      <c r="M261" s="4">
        <v>776110.32</v>
      </c>
      <c r="N261" s="4">
        <v>139676.21</v>
      </c>
      <c r="P261">
        <f t="shared" si="20"/>
        <v>0</v>
      </c>
      <c r="Q261">
        <f t="shared" si="21"/>
        <v>0</v>
      </c>
      <c r="S261">
        <f t="shared" si="22"/>
        <v>0</v>
      </c>
      <c r="T261" s="4">
        <f t="shared" si="23"/>
        <v>1</v>
      </c>
      <c r="U261">
        <f t="shared" si="24"/>
        <v>0</v>
      </c>
      <c r="X261" s="4"/>
    </row>
    <row r="262" spans="1:24">
      <c r="A262" s="4" t="s">
        <v>87</v>
      </c>
      <c r="B262" s="5">
        <v>45658</v>
      </c>
      <c r="C262" s="4" t="s">
        <v>27</v>
      </c>
      <c r="D262" s="4" t="s">
        <v>18</v>
      </c>
      <c r="E262" s="4">
        <v>14519.37</v>
      </c>
      <c r="F262" s="4">
        <v>3047</v>
      </c>
      <c r="G262" s="4">
        <v>0.13500000000000001</v>
      </c>
      <c r="H262" s="4">
        <v>10</v>
      </c>
      <c r="I262" s="4">
        <v>90.3</v>
      </c>
      <c r="J262" s="4">
        <v>6.62</v>
      </c>
      <c r="K262" s="4">
        <v>0</v>
      </c>
      <c r="L262">
        <v>4.2</v>
      </c>
      <c r="M262" s="4">
        <v>528852.62</v>
      </c>
      <c r="N262" s="4">
        <v>68426.210000000006</v>
      </c>
      <c r="P262">
        <f t="shared" si="20"/>
        <v>1</v>
      </c>
      <c r="Q262">
        <f t="shared" si="21"/>
        <v>0</v>
      </c>
      <c r="S262">
        <f t="shared" si="22"/>
        <v>0</v>
      </c>
      <c r="T262" s="4">
        <f t="shared" si="23"/>
        <v>0</v>
      </c>
      <c r="U262">
        <f t="shared" si="24"/>
        <v>1</v>
      </c>
      <c r="X262" s="4"/>
    </row>
    <row r="263" spans="1:24">
      <c r="A263" s="4" t="s">
        <v>87</v>
      </c>
      <c r="B263" s="5">
        <v>45689</v>
      </c>
      <c r="C263" s="4" t="s">
        <v>27</v>
      </c>
      <c r="D263" s="4" t="s">
        <v>18</v>
      </c>
      <c r="E263" s="4">
        <v>43288.2</v>
      </c>
      <c r="F263" s="4">
        <v>4783</v>
      </c>
      <c r="G263" s="4">
        <v>0.16900000000000001</v>
      </c>
      <c r="H263" s="4">
        <v>13</v>
      </c>
      <c r="I263" s="4">
        <v>87.3</v>
      </c>
      <c r="J263" s="4">
        <v>4.5590445859872624</v>
      </c>
      <c r="K263" s="4">
        <v>0</v>
      </c>
      <c r="L263">
        <v>4.2</v>
      </c>
      <c r="M263" s="4">
        <v>605751.32999999996</v>
      </c>
      <c r="N263" s="4">
        <v>60685.53</v>
      </c>
      <c r="P263">
        <f t="shared" si="20"/>
        <v>1</v>
      </c>
      <c r="Q263">
        <f t="shared" si="21"/>
        <v>0</v>
      </c>
      <c r="S263">
        <f t="shared" si="22"/>
        <v>0</v>
      </c>
      <c r="T263" s="4">
        <f t="shared" si="23"/>
        <v>0</v>
      </c>
      <c r="U263">
        <f t="shared" si="24"/>
        <v>1</v>
      </c>
      <c r="X263" s="4"/>
    </row>
    <row r="264" spans="1:24">
      <c r="A264" s="4" t="s">
        <v>87</v>
      </c>
      <c r="B264" s="5">
        <v>45717</v>
      </c>
      <c r="C264" s="4" t="s">
        <v>27</v>
      </c>
      <c r="D264" s="4" t="s">
        <v>18</v>
      </c>
      <c r="E264" s="4">
        <v>51450.55</v>
      </c>
      <c r="F264" s="4">
        <v>4902</v>
      </c>
      <c r="G264" s="4">
        <v>8.5999999999999993E-2</v>
      </c>
      <c r="H264" s="4">
        <v>11</v>
      </c>
      <c r="I264" s="4">
        <v>83.7</v>
      </c>
      <c r="J264" s="4">
        <v>6.92</v>
      </c>
      <c r="K264" s="4">
        <v>1</v>
      </c>
      <c r="L264">
        <v>4.2</v>
      </c>
      <c r="M264" s="4">
        <v>677640.65</v>
      </c>
      <c r="N264" s="4">
        <v>111610.89</v>
      </c>
      <c r="P264">
        <f t="shared" si="20"/>
        <v>1</v>
      </c>
      <c r="Q264">
        <f t="shared" si="21"/>
        <v>0</v>
      </c>
      <c r="S264">
        <f t="shared" si="22"/>
        <v>0</v>
      </c>
      <c r="T264" s="4">
        <f t="shared" si="23"/>
        <v>0</v>
      </c>
      <c r="U264">
        <f t="shared" si="24"/>
        <v>1</v>
      </c>
      <c r="X264" s="4"/>
    </row>
    <row r="265" spans="1:24">
      <c r="A265" s="4" t="s">
        <v>87</v>
      </c>
      <c r="B265" s="5">
        <v>45748</v>
      </c>
      <c r="C265" s="4" t="s">
        <v>27</v>
      </c>
      <c r="D265" s="4" t="s">
        <v>18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 s="4">
        <v>0</v>
      </c>
      <c r="L265">
        <v>3.7</v>
      </c>
      <c r="M265" s="4">
        <v>636613.23</v>
      </c>
      <c r="N265" s="4">
        <v>78908.350000000006</v>
      </c>
      <c r="P265">
        <f t="shared" si="20"/>
        <v>1</v>
      </c>
      <c r="Q265">
        <f t="shared" si="21"/>
        <v>0</v>
      </c>
      <c r="S265">
        <f t="shared" si="22"/>
        <v>0</v>
      </c>
      <c r="T265" s="4">
        <f t="shared" si="23"/>
        <v>0</v>
      </c>
      <c r="U265">
        <f t="shared" si="24"/>
        <v>1</v>
      </c>
      <c r="X265" s="4"/>
    </row>
    <row r="266" spans="1:24">
      <c r="A266" s="4" t="s">
        <v>88</v>
      </c>
      <c r="B266" s="5">
        <v>45658</v>
      </c>
      <c r="C266" s="4" t="s">
        <v>15</v>
      </c>
      <c r="D266" s="4" t="s">
        <v>18</v>
      </c>
      <c r="E266" s="4">
        <v>58981.91</v>
      </c>
      <c r="F266" s="4">
        <v>7324</v>
      </c>
      <c r="G266" s="4">
        <v>9.4E-2</v>
      </c>
      <c r="H266" s="4">
        <v>15</v>
      </c>
      <c r="I266" s="4">
        <v>95.8</v>
      </c>
      <c r="J266" s="4">
        <v>0.5</v>
      </c>
      <c r="K266" s="4">
        <v>0</v>
      </c>
      <c r="L266">
        <v>3.5</v>
      </c>
      <c r="M266" s="4">
        <v>708985.19</v>
      </c>
      <c r="N266" s="4">
        <v>125368.16</v>
      </c>
      <c r="P266">
        <f t="shared" si="20"/>
        <v>1</v>
      </c>
      <c r="Q266">
        <f t="shared" si="21"/>
        <v>0</v>
      </c>
      <c r="S266">
        <f t="shared" si="22"/>
        <v>0</v>
      </c>
      <c r="T266" s="4">
        <f t="shared" si="23"/>
        <v>0</v>
      </c>
      <c r="U266">
        <f t="shared" si="24"/>
        <v>0</v>
      </c>
      <c r="X266" s="4"/>
    </row>
    <row r="267" spans="1:24">
      <c r="A267" s="4" t="s">
        <v>88</v>
      </c>
      <c r="B267" s="5">
        <v>45689</v>
      </c>
      <c r="C267" s="4" t="s">
        <v>15</v>
      </c>
      <c r="D267" s="4" t="s">
        <v>18</v>
      </c>
      <c r="E267" s="4">
        <v>73454.539999999994</v>
      </c>
      <c r="F267" s="4">
        <v>8129</v>
      </c>
      <c r="G267" s="4">
        <v>0.21099999999999999</v>
      </c>
      <c r="H267" s="4">
        <v>20</v>
      </c>
      <c r="I267" s="4">
        <v>85.2</v>
      </c>
      <c r="J267" s="4">
        <v>0.88</v>
      </c>
      <c r="K267" s="4">
        <v>0</v>
      </c>
      <c r="L267">
        <v>3.7</v>
      </c>
      <c r="M267" s="4">
        <v>767792.94</v>
      </c>
      <c r="N267" s="4">
        <v>96235.77</v>
      </c>
      <c r="P267">
        <f t="shared" si="20"/>
        <v>1</v>
      </c>
      <c r="Q267">
        <f t="shared" si="21"/>
        <v>0</v>
      </c>
      <c r="S267">
        <f t="shared" si="22"/>
        <v>0</v>
      </c>
      <c r="T267" s="4">
        <f t="shared" si="23"/>
        <v>0</v>
      </c>
      <c r="U267">
        <f t="shared" si="24"/>
        <v>0</v>
      </c>
      <c r="X267" s="4"/>
    </row>
    <row r="268" spans="1:24">
      <c r="A268" s="4" t="s">
        <v>88</v>
      </c>
      <c r="B268" s="5">
        <v>45717</v>
      </c>
      <c r="C268" s="4" t="s">
        <v>15</v>
      </c>
      <c r="D268" s="4" t="s">
        <v>18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 s="4">
        <v>0</v>
      </c>
      <c r="L268">
        <v>3.7</v>
      </c>
      <c r="M268" s="4">
        <v>745580.51</v>
      </c>
      <c r="N268" s="4">
        <v>116273.68</v>
      </c>
      <c r="P268">
        <f t="shared" si="20"/>
        <v>1</v>
      </c>
      <c r="Q268">
        <f t="shared" si="21"/>
        <v>0</v>
      </c>
      <c r="S268">
        <f t="shared" si="22"/>
        <v>0</v>
      </c>
      <c r="T268" s="4">
        <f t="shared" si="23"/>
        <v>0</v>
      </c>
      <c r="U268">
        <f t="shared" si="24"/>
        <v>0</v>
      </c>
      <c r="X268" s="4"/>
    </row>
    <row r="269" spans="1:24">
      <c r="A269" s="4" t="s">
        <v>88</v>
      </c>
      <c r="B269" s="5">
        <v>45748</v>
      </c>
      <c r="C269" s="4" t="s">
        <v>15</v>
      </c>
      <c r="D269" s="4" t="s">
        <v>18</v>
      </c>
      <c r="E269" s="4">
        <v>67722.289999999994</v>
      </c>
      <c r="F269" s="4">
        <v>7240</v>
      </c>
      <c r="G269" s="4">
        <v>2.5999999999999999E-2</v>
      </c>
      <c r="H269" s="4">
        <v>15</v>
      </c>
      <c r="I269" s="4">
        <v>92.9</v>
      </c>
      <c r="J269" s="4">
        <v>0.28999999999999998</v>
      </c>
      <c r="K269" s="4">
        <v>0</v>
      </c>
      <c r="L269">
        <v>3.5</v>
      </c>
      <c r="M269" s="4">
        <v>762328.31</v>
      </c>
      <c r="N269" s="4">
        <v>159158.19</v>
      </c>
      <c r="P269">
        <f t="shared" si="20"/>
        <v>1</v>
      </c>
      <c r="Q269">
        <f t="shared" si="21"/>
        <v>0</v>
      </c>
      <c r="S269">
        <f t="shared" si="22"/>
        <v>0</v>
      </c>
      <c r="T269" s="4">
        <f t="shared" si="23"/>
        <v>0</v>
      </c>
      <c r="U269">
        <f t="shared" si="24"/>
        <v>0</v>
      </c>
      <c r="X269" s="4"/>
    </row>
    <row r="270" spans="1:24">
      <c r="A270" s="4" t="s">
        <v>89</v>
      </c>
      <c r="B270" s="5">
        <v>45658</v>
      </c>
      <c r="C270" s="4" t="s">
        <v>15</v>
      </c>
      <c r="D270" s="4" t="s">
        <v>28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 s="4">
        <v>0</v>
      </c>
      <c r="L270">
        <v>3.6</v>
      </c>
      <c r="M270" s="4">
        <v>660633.99</v>
      </c>
      <c r="N270" s="4">
        <v>118768.66</v>
      </c>
      <c r="P270">
        <f t="shared" si="20"/>
        <v>0</v>
      </c>
      <c r="Q270">
        <f t="shared" si="21"/>
        <v>0</v>
      </c>
      <c r="S270">
        <f t="shared" si="22"/>
        <v>0</v>
      </c>
      <c r="T270" s="4">
        <f t="shared" si="23"/>
        <v>0</v>
      </c>
      <c r="U270">
        <f t="shared" si="24"/>
        <v>0</v>
      </c>
      <c r="X270" s="4"/>
    </row>
    <row r="271" spans="1:24">
      <c r="A271" s="4" t="s">
        <v>89</v>
      </c>
      <c r="B271" s="5">
        <v>45689</v>
      </c>
      <c r="C271" s="4" t="s">
        <v>15</v>
      </c>
      <c r="D271" s="4" t="s">
        <v>28</v>
      </c>
      <c r="E271" s="4">
        <v>23914.97</v>
      </c>
      <c r="F271" s="4">
        <v>8018</v>
      </c>
      <c r="G271" s="4">
        <v>0.13900000000000001</v>
      </c>
      <c r="H271" s="4">
        <v>20</v>
      </c>
      <c r="I271" s="4">
        <v>89</v>
      </c>
      <c r="J271" s="4">
        <v>0.2</v>
      </c>
      <c r="K271" s="4">
        <v>0</v>
      </c>
      <c r="L271">
        <v>3.5</v>
      </c>
      <c r="M271" s="4">
        <v>739374.56</v>
      </c>
      <c r="N271" s="4">
        <v>121032.29</v>
      </c>
      <c r="P271">
        <f t="shared" si="20"/>
        <v>0</v>
      </c>
      <c r="Q271">
        <f t="shared" si="21"/>
        <v>0</v>
      </c>
      <c r="S271">
        <f t="shared" si="22"/>
        <v>0</v>
      </c>
      <c r="T271" s="4">
        <f t="shared" si="23"/>
        <v>0</v>
      </c>
      <c r="U271">
        <f t="shared" si="24"/>
        <v>0</v>
      </c>
      <c r="X271" s="4"/>
    </row>
    <row r="272" spans="1:24">
      <c r="A272" s="4" t="s">
        <v>89</v>
      </c>
      <c r="B272" s="5">
        <v>45717</v>
      </c>
      <c r="C272" s="4" t="s">
        <v>15</v>
      </c>
      <c r="D272" s="4" t="s">
        <v>28</v>
      </c>
      <c r="E272" s="4">
        <v>61995.3</v>
      </c>
      <c r="F272" s="4">
        <v>10192</v>
      </c>
      <c r="G272" s="4">
        <v>0.19800000000000001</v>
      </c>
      <c r="H272" s="4">
        <v>21</v>
      </c>
      <c r="I272" s="4">
        <v>87.6</v>
      </c>
      <c r="J272" s="4">
        <v>3.63</v>
      </c>
      <c r="K272" s="4">
        <v>1</v>
      </c>
      <c r="L272">
        <v>3.8</v>
      </c>
      <c r="M272" s="4">
        <v>799756.46</v>
      </c>
      <c r="N272" s="4">
        <v>105052.93</v>
      </c>
      <c r="P272">
        <f t="shared" si="20"/>
        <v>0</v>
      </c>
      <c r="Q272">
        <f t="shared" si="21"/>
        <v>0</v>
      </c>
      <c r="S272">
        <f t="shared" si="22"/>
        <v>0</v>
      </c>
      <c r="T272" s="4">
        <f t="shared" si="23"/>
        <v>0</v>
      </c>
      <c r="U272">
        <f t="shared" si="24"/>
        <v>0</v>
      </c>
      <c r="X272" s="4"/>
    </row>
    <row r="273" spans="1:24">
      <c r="A273" s="4" t="s">
        <v>89</v>
      </c>
      <c r="B273" s="5">
        <v>45748</v>
      </c>
      <c r="C273" s="4" t="s">
        <v>15</v>
      </c>
      <c r="D273" s="4" t="s">
        <v>28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 s="4">
        <v>0</v>
      </c>
      <c r="L273">
        <v>3.2</v>
      </c>
      <c r="M273" s="4">
        <v>593343</v>
      </c>
      <c r="N273" s="4">
        <v>82832.240000000005</v>
      </c>
      <c r="P273">
        <f t="shared" si="20"/>
        <v>0</v>
      </c>
      <c r="Q273">
        <f t="shared" si="21"/>
        <v>0</v>
      </c>
      <c r="S273">
        <f t="shared" si="22"/>
        <v>0</v>
      </c>
      <c r="T273" s="4">
        <f t="shared" si="23"/>
        <v>0</v>
      </c>
      <c r="U273">
        <f t="shared" si="24"/>
        <v>0</v>
      </c>
      <c r="X273" s="4"/>
    </row>
    <row r="274" spans="1:24">
      <c r="A274" s="4" t="s">
        <v>90</v>
      </c>
      <c r="B274" s="5">
        <v>45658</v>
      </c>
      <c r="C274" s="4" t="s">
        <v>27</v>
      </c>
      <c r="D274" s="4" t="s">
        <v>18</v>
      </c>
      <c r="E274" s="4">
        <v>50532.17</v>
      </c>
      <c r="F274" s="4">
        <v>5689</v>
      </c>
      <c r="G274" s="4">
        <v>5.1999999999999998E-2</v>
      </c>
      <c r="H274" s="4">
        <v>17</v>
      </c>
      <c r="I274" s="4">
        <v>85.6</v>
      </c>
      <c r="J274" s="4">
        <v>6.23</v>
      </c>
      <c r="K274" s="4">
        <v>0</v>
      </c>
      <c r="L274">
        <v>3.3</v>
      </c>
      <c r="M274" s="4">
        <v>645039.97</v>
      </c>
      <c r="N274" s="4">
        <v>83093.33</v>
      </c>
      <c r="P274">
        <f t="shared" si="20"/>
        <v>1</v>
      </c>
      <c r="Q274">
        <f t="shared" si="21"/>
        <v>0</v>
      </c>
      <c r="S274">
        <f t="shared" si="22"/>
        <v>0</v>
      </c>
      <c r="T274" s="4">
        <f t="shared" si="23"/>
        <v>0</v>
      </c>
      <c r="U274">
        <f t="shared" si="24"/>
        <v>1</v>
      </c>
      <c r="X274" s="4"/>
    </row>
    <row r="275" spans="1:24">
      <c r="A275" s="4" t="s">
        <v>90</v>
      </c>
      <c r="B275" s="5">
        <v>45689</v>
      </c>
      <c r="C275" s="4" t="s">
        <v>27</v>
      </c>
      <c r="D275" s="4" t="s">
        <v>18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 s="4">
        <v>0</v>
      </c>
      <c r="L275">
        <v>3.1</v>
      </c>
      <c r="M275" s="4">
        <v>561597.32999999996</v>
      </c>
      <c r="N275" s="4">
        <v>75072.75</v>
      </c>
      <c r="P275">
        <f t="shared" si="20"/>
        <v>1</v>
      </c>
      <c r="Q275">
        <f t="shared" si="21"/>
        <v>0</v>
      </c>
      <c r="S275">
        <f t="shared" si="22"/>
        <v>0</v>
      </c>
      <c r="T275" s="4">
        <f t="shared" si="23"/>
        <v>0</v>
      </c>
      <c r="U275">
        <f t="shared" si="24"/>
        <v>1</v>
      </c>
      <c r="X275" s="4"/>
    </row>
    <row r="276" spans="1:24">
      <c r="A276" s="4" t="s">
        <v>90</v>
      </c>
      <c r="B276" s="5">
        <v>45717</v>
      </c>
      <c r="C276" s="4" t="s">
        <v>27</v>
      </c>
      <c r="D276" s="4" t="s">
        <v>18</v>
      </c>
      <c r="E276" s="4">
        <v>47648.71</v>
      </c>
      <c r="F276" s="4">
        <v>5767</v>
      </c>
      <c r="G276" s="4">
        <v>0.14099999999999999</v>
      </c>
      <c r="H276" s="4">
        <v>17</v>
      </c>
      <c r="I276" s="4">
        <v>89.8</v>
      </c>
      <c r="J276" s="4">
        <v>1.76</v>
      </c>
      <c r="K276" s="4">
        <v>0</v>
      </c>
      <c r="L276">
        <v>3.1</v>
      </c>
      <c r="M276" s="4">
        <v>635837.74</v>
      </c>
      <c r="N276" s="4">
        <v>114740.64</v>
      </c>
      <c r="P276">
        <f t="shared" si="20"/>
        <v>1</v>
      </c>
      <c r="Q276">
        <f t="shared" si="21"/>
        <v>0</v>
      </c>
      <c r="S276">
        <f t="shared" si="22"/>
        <v>0</v>
      </c>
      <c r="T276" s="4">
        <f t="shared" si="23"/>
        <v>0</v>
      </c>
      <c r="U276">
        <f t="shared" si="24"/>
        <v>1</v>
      </c>
      <c r="X276" s="4"/>
    </row>
    <row r="277" spans="1:24">
      <c r="A277" s="4" t="s">
        <v>90</v>
      </c>
      <c r="B277" s="5">
        <v>45748</v>
      </c>
      <c r="C277" s="4" t="s">
        <v>27</v>
      </c>
      <c r="D277" s="4" t="s">
        <v>18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77.599999999999994</v>
      </c>
      <c r="J277" s="4">
        <v>2.86</v>
      </c>
      <c r="K277" s="4">
        <v>0</v>
      </c>
      <c r="L277">
        <v>3</v>
      </c>
      <c r="M277" s="4">
        <v>686737.87</v>
      </c>
      <c r="N277" s="4">
        <v>83839.67</v>
      </c>
      <c r="P277">
        <f t="shared" si="20"/>
        <v>1</v>
      </c>
      <c r="Q277">
        <f t="shared" si="21"/>
        <v>0</v>
      </c>
      <c r="S277">
        <f t="shared" si="22"/>
        <v>0</v>
      </c>
      <c r="T277" s="4">
        <f t="shared" si="23"/>
        <v>0</v>
      </c>
      <c r="U277">
        <f t="shared" si="24"/>
        <v>1</v>
      </c>
      <c r="X277" s="4"/>
    </row>
    <row r="278" spans="1:24">
      <c r="A278" s="4" t="s">
        <v>91</v>
      </c>
      <c r="B278" s="5">
        <v>45658</v>
      </c>
      <c r="C278" s="4" t="s">
        <v>24</v>
      </c>
      <c r="D278" s="4" t="s">
        <v>16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 s="4">
        <v>1</v>
      </c>
      <c r="L278">
        <v>3.4</v>
      </c>
      <c r="M278" s="4">
        <v>673076.34</v>
      </c>
      <c r="N278" s="4">
        <v>93899.76</v>
      </c>
      <c r="P278">
        <f t="shared" si="20"/>
        <v>0</v>
      </c>
      <c r="Q278">
        <f t="shared" si="21"/>
        <v>1</v>
      </c>
      <c r="S278">
        <f t="shared" si="22"/>
        <v>0</v>
      </c>
      <c r="T278" s="4">
        <f t="shared" si="23"/>
        <v>1</v>
      </c>
      <c r="U278">
        <f t="shared" si="24"/>
        <v>0</v>
      </c>
      <c r="X278" s="4"/>
    </row>
    <row r="279" spans="1:24">
      <c r="A279" s="4" t="s">
        <v>91</v>
      </c>
      <c r="B279" s="5">
        <v>45689</v>
      </c>
      <c r="C279" s="4" t="s">
        <v>24</v>
      </c>
      <c r="D279" s="4" t="s">
        <v>16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 s="4">
        <v>0</v>
      </c>
      <c r="L279">
        <v>4</v>
      </c>
      <c r="M279" s="4">
        <v>738548.42</v>
      </c>
      <c r="N279" s="4">
        <v>134282.76999999999</v>
      </c>
      <c r="P279">
        <f t="shared" si="20"/>
        <v>0</v>
      </c>
      <c r="Q279">
        <f t="shared" si="21"/>
        <v>1</v>
      </c>
      <c r="S279">
        <f t="shared" si="22"/>
        <v>0</v>
      </c>
      <c r="T279" s="4">
        <f t="shared" si="23"/>
        <v>1</v>
      </c>
      <c r="U279">
        <f t="shared" si="24"/>
        <v>0</v>
      </c>
      <c r="X279" s="4"/>
    </row>
    <row r="280" spans="1:24">
      <c r="A280" s="4" t="s">
        <v>91</v>
      </c>
      <c r="B280" s="5">
        <v>45717</v>
      </c>
      <c r="C280" s="4" t="s">
        <v>24</v>
      </c>
      <c r="D280" s="4" t="s">
        <v>16</v>
      </c>
      <c r="E280" s="4">
        <v>48609.41</v>
      </c>
      <c r="F280" s="4">
        <v>9324</v>
      </c>
      <c r="G280" s="4">
        <v>0.21299999999999999</v>
      </c>
      <c r="H280" s="4">
        <v>18</v>
      </c>
      <c r="I280" s="4">
        <v>86.5</v>
      </c>
      <c r="J280" s="4">
        <v>1.44</v>
      </c>
      <c r="K280" s="4">
        <v>0</v>
      </c>
      <c r="L280">
        <v>3.9</v>
      </c>
      <c r="M280" s="4">
        <v>756619.77</v>
      </c>
      <c r="N280" s="4">
        <v>112057.69</v>
      </c>
      <c r="P280">
        <f t="shared" si="20"/>
        <v>0</v>
      </c>
      <c r="Q280">
        <f t="shared" si="21"/>
        <v>1</v>
      </c>
      <c r="S280">
        <f t="shared" si="22"/>
        <v>0</v>
      </c>
      <c r="T280" s="4">
        <f t="shared" si="23"/>
        <v>1</v>
      </c>
      <c r="U280">
        <f t="shared" si="24"/>
        <v>0</v>
      </c>
      <c r="X280" s="4"/>
    </row>
    <row r="281" spans="1:24">
      <c r="A281" s="4" t="s">
        <v>91</v>
      </c>
      <c r="B281" s="5">
        <v>45748</v>
      </c>
      <c r="C281" s="4" t="s">
        <v>24</v>
      </c>
      <c r="D281" s="4" t="s">
        <v>16</v>
      </c>
      <c r="E281" s="4">
        <v>70284.06</v>
      </c>
      <c r="F281" s="4">
        <v>9109</v>
      </c>
      <c r="G281" s="4">
        <v>4.0000000000000001E-3</v>
      </c>
      <c r="H281" s="4">
        <v>23</v>
      </c>
      <c r="I281" s="4">
        <v>87</v>
      </c>
      <c r="J281" s="4">
        <v>3.65</v>
      </c>
      <c r="K281" s="4">
        <v>0</v>
      </c>
      <c r="L281">
        <v>3.7</v>
      </c>
      <c r="M281" s="4">
        <v>761122.42</v>
      </c>
      <c r="N281" s="4">
        <v>149802.04</v>
      </c>
      <c r="P281">
        <f t="shared" si="20"/>
        <v>0</v>
      </c>
      <c r="Q281">
        <f t="shared" si="21"/>
        <v>1</v>
      </c>
      <c r="S281">
        <f t="shared" si="22"/>
        <v>0</v>
      </c>
      <c r="T281" s="4">
        <f t="shared" si="23"/>
        <v>1</v>
      </c>
      <c r="U281">
        <f t="shared" si="24"/>
        <v>0</v>
      </c>
      <c r="X281" s="4"/>
    </row>
    <row r="282" spans="1:24">
      <c r="A282" s="4" t="s">
        <v>92</v>
      </c>
      <c r="B282" s="5">
        <v>45658</v>
      </c>
      <c r="C282" s="4" t="s">
        <v>24</v>
      </c>
      <c r="D282" s="4" t="s">
        <v>18</v>
      </c>
      <c r="E282" s="4">
        <v>45940.39</v>
      </c>
      <c r="F282" s="4">
        <v>4022</v>
      </c>
      <c r="G282" s="4">
        <v>6.9000000000000006E-2</v>
      </c>
      <c r="H282" s="4">
        <v>10</v>
      </c>
      <c r="I282" s="4">
        <v>83</v>
      </c>
      <c r="J282" s="4">
        <v>1.23</v>
      </c>
      <c r="K282" s="4">
        <v>1</v>
      </c>
      <c r="L282">
        <v>3.8</v>
      </c>
      <c r="M282" s="4">
        <v>524899.56999999995</v>
      </c>
      <c r="N282" s="4">
        <v>63619.98</v>
      </c>
      <c r="P282">
        <f t="shared" si="20"/>
        <v>1</v>
      </c>
      <c r="Q282">
        <f t="shared" si="21"/>
        <v>0</v>
      </c>
      <c r="S282">
        <f t="shared" si="22"/>
        <v>0</v>
      </c>
      <c r="T282" s="4">
        <f t="shared" si="23"/>
        <v>1</v>
      </c>
      <c r="U282">
        <f t="shared" si="24"/>
        <v>0</v>
      </c>
      <c r="X282" s="4"/>
    </row>
    <row r="283" spans="1:24">
      <c r="A283" s="4" t="s">
        <v>92</v>
      </c>
      <c r="B283" s="5">
        <v>45689</v>
      </c>
      <c r="C283" s="4" t="s">
        <v>24</v>
      </c>
      <c r="D283" s="4" t="s">
        <v>18</v>
      </c>
      <c r="E283" s="4">
        <v>34771.26</v>
      </c>
      <c r="F283" s="4">
        <v>4355</v>
      </c>
      <c r="G283" s="4">
        <v>5.0999999999999997E-2</v>
      </c>
      <c r="H283" s="4">
        <v>15</v>
      </c>
      <c r="I283" s="4">
        <v>87.9</v>
      </c>
      <c r="J283" s="4">
        <v>3.09</v>
      </c>
      <c r="K283" s="4">
        <v>0</v>
      </c>
      <c r="L283">
        <v>4</v>
      </c>
      <c r="M283" s="4">
        <v>555557.77</v>
      </c>
      <c r="N283" s="4">
        <v>86475.51</v>
      </c>
      <c r="P283">
        <f t="shared" si="20"/>
        <v>1</v>
      </c>
      <c r="Q283">
        <f t="shared" si="21"/>
        <v>0</v>
      </c>
      <c r="S283">
        <f t="shared" si="22"/>
        <v>0</v>
      </c>
      <c r="T283" s="4">
        <f t="shared" si="23"/>
        <v>1</v>
      </c>
      <c r="U283">
        <f t="shared" si="24"/>
        <v>0</v>
      </c>
      <c r="X283" s="4"/>
    </row>
    <row r="284" spans="1:24">
      <c r="A284" s="4" t="s">
        <v>92</v>
      </c>
      <c r="B284" s="5">
        <v>45717</v>
      </c>
      <c r="C284" s="4" t="s">
        <v>24</v>
      </c>
      <c r="D284" s="4" t="s">
        <v>18</v>
      </c>
      <c r="E284" s="4">
        <v>66104.19</v>
      </c>
      <c r="F284" s="4">
        <v>5745</v>
      </c>
      <c r="G284" s="4">
        <v>7.0000000000000007E-2</v>
      </c>
      <c r="H284" s="4">
        <v>17</v>
      </c>
      <c r="I284" s="4">
        <v>95.8</v>
      </c>
      <c r="J284" s="4">
        <v>3.15</v>
      </c>
      <c r="K284" s="4">
        <v>0</v>
      </c>
      <c r="L284">
        <v>4</v>
      </c>
      <c r="M284" s="4">
        <v>714083.68</v>
      </c>
      <c r="N284" s="4">
        <v>127231.74</v>
      </c>
      <c r="P284">
        <f t="shared" si="20"/>
        <v>1</v>
      </c>
      <c r="Q284">
        <f t="shared" si="21"/>
        <v>0</v>
      </c>
      <c r="S284">
        <f t="shared" si="22"/>
        <v>0</v>
      </c>
      <c r="T284" s="4">
        <f t="shared" si="23"/>
        <v>1</v>
      </c>
      <c r="U284">
        <f t="shared" si="24"/>
        <v>0</v>
      </c>
      <c r="X284" s="4"/>
    </row>
    <row r="285" spans="1:24">
      <c r="A285" s="4" t="s">
        <v>92</v>
      </c>
      <c r="B285" s="5">
        <v>45748</v>
      </c>
      <c r="C285" s="4" t="s">
        <v>24</v>
      </c>
      <c r="D285" s="4" t="s">
        <v>18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80.900000000000006</v>
      </c>
      <c r="J285" s="4">
        <v>6.44</v>
      </c>
      <c r="K285" s="4">
        <v>0</v>
      </c>
      <c r="L285">
        <v>4.2</v>
      </c>
      <c r="M285" s="4">
        <v>497439.82</v>
      </c>
      <c r="N285" s="4">
        <v>93372.75</v>
      </c>
      <c r="P285">
        <f t="shared" si="20"/>
        <v>1</v>
      </c>
      <c r="Q285">
        <f t="shared" si="21"/>
        <v>0</v>
      </c>
      <c r="S285">
        <f t="shared" si="22"/>
        <v>0</v>
      </c>
      <c r="T285" s="4">
        <f t="shared" si="23"/>
        <v>1</v>
      </c>
      <c r="U285">
        <f t="shared" si="24"/>
        <v>0</v>
      </c>
      <c r="X285" s="4"/>
    </row>
    <row r="286" spans="1:24">
      <c r="A286" s="4" t="s">
        <v>93</v>
      </c>
      <c r="B286" s="5">
        <v>45658</v>
      </c>
      <c r="C286" s="4" t="s">
        <v>27</v>
      </c>
      <c r="D286" s="4" t="s">
        <v>16</v>
      </c>
      <c r="E286" s="4">
        <v>60183.06</v>
      </c>
      <c r="F286" s="4">
        <v>5562</v>
      </c>
      <c r="G286" s="4">
        <v>8.9999999999999993E-3</v>
      </c>
      <c r="H286" s="4">
        <v>13</v>
      </c>
      <c r="I286" s="4">
        <v>86.3</v>
      </c>
      <c r="J286" s="4">
        <v>0.2</v>
      </c>
      <c r="K286" s="4">
        <v>1</v>
      </c>
      <c r="L286">
        <v>4.5</v>
      </c>
      <c r="M286" s="4">
        <v>636775.66</v>
      </c>
      <c r="N286" s="4">
        <v>122636.86</v>
      </c>
      <c r="P286">
        <f t="shared" si="20"/>
        <v>0</v>
      </c>
      <c r="Q286">
        <f t="shared" si="21"/>
        <v>1</v>
      </c>
      <c r="S286">
        <f t="shared" si="22"/>
        <v>0</v>
      </c>
      <c r="T286" s="4">
        <f t="shared" si="23"/>
        <v>0</v>
      </c>
      <c r="U286">
        <f t="shared" si="24"/>
        <v>1</v>
      </c>
      <c r="X286" s="4"/>
    </row>
    <row r="287" spans="1:24">
      <c r="A287" s="4" t="s">
        <v>93</v>
      </c>
      <c r="B287" s="5">
        <v>45689</v>
      </c>
      <c r="C287" s="4" t="s">
        <v>27</v>
      </c>
      <c r="D287" s="4" t="s">
        <v>16</v>
      </c>
      <c r="E287" s="4">
        <v>74539.14</v>
      </c>
      <c r="F287" s="4">
        <v>4487</v>
      </c>
      <c r="G287" s="4">
        <v>0.14000000000000001</v>
      </c>
      <c r="H287" s="4">
        <v>10</v>
      </c>
      <c r="I287" s="4">
        <v>90.4</v>
      </c>
      <c r="J287" s="4">
        <v>0.59</v>
      </c>
      <c r="K287" s="4">
        <v>0</v>
      </c>
      <c r="L287">
        <v>4.5</v>
      </c>
      <c r="M287" s="4">
        <v>633009.53</v>
      </c>
      <c r="N287" s="4">
        <v>123782.67</v>
      </c>
      <c r="P287">
        <f t="shared" si="20"/>
        <v>0</v>
      </c>
      <c r="Q287">
        <f t="shared" si="21"/>
        <v>1</v>
      </c>
      <c r="S287">
        <f t="shared" si="22"/>
        <v>0</v>
      </c>
      <c r="T287" s="4">
        <f t="shared" si="23"/>
        <v>0</v>
      </c>
      <c r="U287">
        <f t="shared" si="24"/>
        <v>1</v>
      </c>
      <c r="X287" s="4"/>
    </row>
    <row r="288" spans="1:24">
      <c r="A288" s="4" t="s">
        <v>93</v>
      </c>
      <c r="B288" s="5">
        <v>45717</v>
      </c>
      <c r="C288" s="4" t="s">
        <v>27</v>
      </c>
      <c r="D288" s="4" t="s">
        <v>16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 s="4">
        <v>1</v>
      </c>
      <c r="L288">
        <v>4.2</v>
      </c>
      <c r="M288" s="4">
        <v>609949</v>
      </c>
      <c r="N288" s="4">
        <v>126789.25</v>
      </c>
      <c r="P288">
        <f t="shared" si="20"/>
        <v>0</v>
      </c>
      <c r="Q288">
        <f t="shared" si="21"/>
        <v>1</v>
      </c>
      <c r="S288">
        <f t="shared" si="22"/>
        <v>0</v>
      </c>
      <c r="T288" s="4">
        <f t="shared" si="23"/>
        <v>0</v>
      </c>
      <c r="U288">
        <f t="shared" si="24"/>
        <v>1</v>
      </c>
      <c r="X288" s="4"/>
    </row>
    <row r="289" spans="1:24">
      <c r="A289" s="4" t="s">
        <v>93</v>
      </c>
      <c r="B289" s="5">
        <v>45748</v>
      </c>
      <c r="C289" s="4" t="s">
        <v>27</v>
      </c>
      <c r="D289" s="4" t="s">
        <v>16</v>
      </c>
      <c r="E289" s="4">
        <v>40928.69</v>
      </c>
      <c r="F289" s="4">
        <v>4094</v>
      </c>
      <c r="G289" s="4">
        <v>0.17399999999999999</v>
      </c>
      <c r="H289" s="4">
        <v>13</v>
      </c>
      <c r="I289" s="4">
        <v>82.4</v>
      </c>
      <c r="J289" s="4">
        <v>1.36</v>
      </c>
      <c r="K289" s="4">
        <v>0</v>
      </c>
      <c r="L289">
        <v>4.8</v>
      </c>
      <c r="M289" s="4">
        <v>548103.69999999995</v>
      </c>
      <c r="N289" s="4">
        <v>99905.52</v>
      </c>
      <c r="P289">
        <f t="shared" si="20"/>
        <v>0</v>
      </c>
      <c r="Q289">
        <f t="shared" si="21"/>
        <v>1</v>
      </c>
      <c r="S289">
        <f t="shared" si="22"/>
        <v>0</v>
      </c>
      <c r="T289" s="4">
        <f t="shared" si="23"/>
        <v>0</v>
      </c>
      <c r="U289">
        <f t="shared" si="24"/>
        <v>1</v>
      </c>
      <c r="X289" s="4"/>
    </row>
    <row r="290" spans="1:24">
      <c r="A290" s="4" t="s">
        <v>94</v>
      </c>
      <c r="B290" s="5">
        <v>45658</v>
      </c>
      <c r="C290" s="4" t="s">
        <v>15</v>
      </c>
      <c r="D290" s="4" t="s">
        <v>16</v>
      </c>
      <c r="E290" s="4">
        <v>70012.41</v>
      </c>
      <c r="F290" s="4">
        <v>8484</v>
      </c>
      <c r="G290" s="4">
        <v>0.27300000000000002</v>
      </c>
      <c r="H290" s="4">
        <v>23</v>
      </c>
      <c r="I290" s="4">
        <v>72.900000000000006</v>
      </c>
      <c r="J290" s="4">
        <v>3.34</v>
      </c>
      <c r="K290" s="4">
        <v>0</v>
      </c>
      <c r="L290">
        <v>3.7</v>
      </c>
      <c r="M290" s="4">
        <v>729424.42</v>
      </c>
      <c r="N290" s="4">
        <v>75592.28</v>
      </c>
      <c r="P290">
        <f t="shared" si="20"/>
        <v>0</v>
      </c>
      <c r="Q290">
        <f t="shared" si="21"/>
        <v>1</v>
      </c>
      <c r="S290">
        <f t="shared" si="22"/>
        <v>0</v>
      </c>
      <c r="T290" s="4">
        <f t="shared" si="23"/>
        <v>0</v>
      </c>
      <c r="U290">
        <f t="shared" si="24"/>
        <v>0</v>
      </c>
      <c r="X290" s="4"/>
    </row>
    <row r="291" spans="1:24">
      <c r="A291" s="4" t="s">
        <v>94</v>
      </c>
      <c r="B291" s="5">
        <v>45689</v>
      </c>
      <c r="C291" s="4" t="s">
        <v>15</v>
      </c>
      <c r="D291" s="4" t="s">
        <v>16</v>
      </c>
      <c r="E291" s="4">
        <v>68909.259999999995</v>
      </c>
      <c r="F291" s="4">
        <v>7794</v>
      </c>
      <c r="G291" s="4">
        <v>0.28399999999999997</v>
      </c>
      <c r="H291" s="4">
        <v>22</v>
      </c>
      <c r="I291" s="4">
        <v>89</v>
      </c>
      <c r="J291" s="4">
        <v>0.33</v>
      </c>
      <c r="K291" s="4">
        <v>0</v>
      </c>
      <c r="L291">
        <v>4</v>
      </c>
      <c r="M291" s="4">
        <v>696261.49</v>
      </c>
      <c r="N291" s="4">
        <v>72455.350000000006</v>
      </c>
      <c r="P291">
        <f t="shared" si="20"/>
        <v>0</v>
      </c>
      <c r="Q291">
        <f t="shared" si="21"/>
        <v>1</v>
      </c>
      <c r="S291">
        <f t="shared" si="22"/>
        <v>0</v>
      </c>
      <c r="T291" s="4">
        <f t="shared" si="23"/>
        <v>0</v>
      </c>
      <c r="U291">
        <f t="shared" si="24"/>
        <v>0</v>
      </c>
      <c r="X291" s="4"/>
    </row>
    <row r="292" spans="1:24">
      <c r="A292" s="4" t="s">
        <v>94</v>
      </c>
      <c r="B292" s="5">
        <v>45717</v>
      </c>
      <c r="C292" s="4" t="s">
        <v>15</v>
      </c>
      <c r="D292" s="4" t="s">
        <v>16</v>
      </c>
      <c r="E292" s="4">
        <v>56737.3</v>
      </c>
      <c r="F292" s="4">
        <v>8300</v>
      </c>
      <c r="G292" s="4">
        <v>3.2000000000000001E-2</v>
      </c>
      <c r="H292" s="4">
        <v>21</v>
      </c>
      <c r="I292" s="4">
        <v>83.2</v>
      </c>
      <c r="J292" s="4">
        <v>3.44</v>
      </c>
      <c r="K292" s="4">
        <v>1</v>
      </c>
      <c r="L292">
        <v>4.3</v>
      </c>
      <c r="M292" s="4">
        <v>813316.71</v>
      </c>
      <c r="N292" s="4">
        <v>110077.42</v>
      </c>
      <c r="P292">
        <f t="shared" si="20"/>
        <v>0</v>
      </c>
      <c r="Q292">
        <f t="shared" si="21"/>
        <v>1</v>
      </c>
      <c r="S292">
        <f t="shared" si="22"/>
        <v>0</v>
      </c>
      <c r="T292" s="4">
        <f t="shared" si="23"/>
        <v>0</v>
      </c>
      <c r="U292">
        <f t="shared" si="24"/>
        <v>0</v>
      </c>
      <c r="X292" s="4"/>
    </row>
    <row r="293" spans="1:24">
      <c r="A293" s="4" t="s">
        <v>94</v>
      </c>
      <c r="B293" s="5">
        <v>45748</v>
      </c>
      <c r="C293" s="4" t="s">
        <v>15</v>
      </c>
      <c r="D293" s="4" t="s">
        <v>16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 s="4">
        <v>0</v>
      </c>
      <c r="L293">
        <v>4.0999999999999996</v>
      </c>
      <c r="M293" s="4">
        <v>702068.92</v>
      </c>
      <c r="N293" s="4">
        <v>111266.63</v>
      </c>
      <c r="P293">
        <f t="shared" si="20"/>
        <v>0</v>
      </c>
      <c r="Q293">
        <f t="shared" si="21"/>
        <v>1</v>
      </c>
      <c r="S293">
        <f t="shared" si="22"/>
        <v>0</v>
      </c>
      <c r="T293" s="4">
        <f t="shared" si="23"/>
        <v>0</v>
      </c>
      <c r="U293">
        <f t="shared" si="24"/>
        <v>0</v>
      </c>
      <c r="X293" s="4"/>
    </row>
    <row r="294" spans="1:24">
      <c r="A294" s="4" t="s">
        <v>95</v>
      </c>
      <c r="B294" s="5">
        <v>45658</v>
      </c>
      <c r="C294" s="4" t="s">
        <v>27</v>
      </c>
      <c r="D294" s="4" t="s">
        <v>18</v>
      </c>
      <c r="E294" s="4">
        <v>51996.32</v>
      </c>
      <c r="F294" s="4">
        <v>3834</v>
      </c>
      <c r="G294" s="4">
        <v>9.6000000000000002E-2</v>
      </c>
      <c r="H294" s="4">
        <v>8</v>
      </c>
      <c r="I294" s="4">
        <v>86.7</v>
      </c>
      <c r="J294" s="4">
        <v>6.04</v>
      </c>
      <c r="K294" s="4">
        <v>0</v>
      </c>
      <c r="L294">
        <v>4.5</v>
      </c>
      <c r="M294" s="4">
        <v>546223.69999999995</v>
      </c>
      <c r="N294" s="4">
        <v>100769.17</v>
      </c>
      <c r="P294">
        <f t="shared" si="20"/>
        <v>1</v>
      </c>
      <c r="Q294">
        <f t="shared" si="21"/>
        <v>0</v>
      </c>
      <c r="S294">
        <f t="shared" si="22"/>
        <v>0</v>
      </c>
      <c r="T294" s="4">
        <f t="shared" si="23"/>
        <v>0</v>
      </c>
      <c r="U294">
        <f t="shared" si="24"/>
        <v>1</v>
      </c>
      <c r="X294" s="4"/>
    </row>
    <row r="295" spans="1:24">
      <c r="A295" s="4" t="s">
        <v>95</v>
      </c>
      <c r="B295" s="5">
        <v>45689</v>
      </c>
      <c r="C295" s="4" t="s">
        <v>27</v>
      </c>
      <c r="D295" s="4" t="s">
        <v>18</v>
      </c>
      <c r="E295" s="4">
        <v>40102.879999999997</v>
      </c>
      <c r="F295" s="4">
        <v>2358</v>
      </c>
      <c r="G295" s="4">
        <v>0.11899999999999999</v>
      </c>
      <c r="H295" s="4">
        <v>9</v>
      </c>
      <c r="I295" s="4">
        <v>88.7</v>
      </c>
      <c r="J295" s="4">
        <v>1.6</v>
      </c>
      <c r="K295" s="4">
        <v>0</v>
      </c>
      <c r="L295">
        <v>4.2</v>
      </c>
      <c r="M295" s="4">
        <v>533121.26</v>
      </c>
      <c r="N295" s="4">
        <v>55063.39</v>
      </c>
      <c r="P295">
        <f t="shared" si="20"/>
        <v>1</v>
      </c>
      <c r="Q295">
        <f t="shared" si="21"/>
        <v>0</v>
      </c>
      <c r="S295">
        <f t="shared" si="22"/>
        <v>0</v>
      </c>
      <c r="T295" s="4">
        <f t="shared" si="23"/>
        <v>0</v>
      </c>
      <c r="U295">
        <f t="shared" si="24"/>
        <v>1</v>
      </c>
      <c r="X295" s="4"/>
    </row>
    <row r="296" spans="1:24">
      <c r="A296" s="4" t="s">
        <v>95</v>
      </c>
      <c r="B296" s="5">
        <v>45717</v>
      </c>
      <c r="C296" s="4" t="s">
        <v>27</v>
      </c>
      <c r="D296" s="4" t="s">
        <v>18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8.9600000000000009</v>
      </c>
      <c r="K296" s="4">
        <v>0</v>
      </c>
      <c r="L296">
        <v>4.7</v>
      </c>
      <c r="M296" s="4">
        <v>498970.32</v>
      </c>
      <c r="N296" s="4">
        <v>69656.7</v>
      </c>
      <c r="P296">
        <f t="shared" si="20"/>
        <v>1</v>
      </c>
      <c r="Q296">
        <f t="shared" si="21"/>
        <v>0</v>
      </c>
      <c r="S296">
        <f t="shared" si="22"/>
        <v>0</v>
      </c>
      <c r="T296" s="4">
        <f t="shared" si="23"/>
        <v>0</v>
      </c>
      <c r="U296">
        <f t="shared" si="24"/>
        <v>1</v>
      </c>
      <c r="X296" s="4"/>
    </row>
    <row r="297" spans="1:24">
      <c r="A297" s="4" t="s">
        <v>95</v>
      </c>
      <c r="B297" s="5">
        <v>45748</v>
      </c>
      <c r="C297" s="4" t="s">
        <v>27</v>
      </c>
      <c r="D297" s="4" t="s">
        <v>18</v>
      </c>
      <c r="E297" s="4">
        <v>27398.28</v>
      </c>
      <c r="F297" s="4">
        <v>1723</v>
      </c>
      <c r="G297" s="4">
        <v>0.17100000000000001</v>
      </c>
      <c r="H297" s="4">
        <v>9</v>
      </c>
      <c r="I297" s="4">
        <v>81</v>
      </c>
      <c r="J297" s="4">
        <v>0.74</v>
      </c>
      <c r="K297" s="4">
        <v>0</v>
      </c>
      <c r="L297">
        <v>4.5999999999999996</v>
      </c>
      <c r="M297" s="4">
        <v>487738.26</v>
      </c>
      <c r="N297" s="4">
        <v>96435.6</v>
      </c>
      <c r="P297">
        <f t="shared" si="20"/>
        <v>1</v>
      </c>
      <c r="Q297">
        <f t="shared" si="21"/>
        <v>0</v>
      </c>
      <c r="S297">
        <f t="shared" si="22"/>
        <v>0</v>
      </c>
      <c r="T297" s="4">
        <f t="shared" si="23"/>
        <v>0</v>
      </c>
      <c r="U297">
        <f t="shared" si="24"/>
        <v>1</v>
      </c>
      <c r="X297" s="4"/>
    </row>
    <row r="298" spans="1:24">
      <c r="A298" s="4" t="s">
        <v>96</v>
      </c>
      <c r="B298" s="5">
        <v>45658</v>
      </c>
      <c r="C298" s="4" t="s">
        <v>27</v>
      </c>
      <c r="D298" s="4" t="s">
        <v>18</v>
      </c>
      <c r="E298" s="4">
        <v>55599.56</v>
      </c>
      <c r="F298" s="4">
        <v>5896</v>
      </c>
      <c r="G298" s="4">
        <v>3.5999999999999997E-2</v>
      </c>
      <c r="H298" s="4">
        <v>12</v>
      </c>
      <c r="I298" s="4">
        <v>93.1</v>
      </c>
      <c r="J298" s="4">
        <v>6.13</v>
      </c>
      <c r="K298" s="4">
        <v>0</v>
      </c>
      <c r="L298">
        <v>3.3</v>
      </c>
      <c r="M298" s="4">
        <v>668459.37</v>
      </c>
      <c r="N298" s="4">
        <v>126435.42</v>
      </c>
      <c r="P298">
        <f t="shared" si="20"/>
        <v>1</v>
      </c>
      <c r="Q298">
        <f t="shared" si="21"/>
        <v>0</v>
      </c>
      <c r="S298">
        <f t="shared" si="22"/>
        <v>0</v>
      </c>
      <c r="T298" s="4">
        <f t="shared" si="23"/>
        <v>0</v>
      </c>
      <c r="U298">
        <f t="shared" si="24"/>
        <v>1</v>
      </c>
      <c r="X298" s="4"/>
    </row>
    <row r="299" spans="1:24">
      <c r="A299" s="4" t="s">
        <v>96</v>
      </c>
      <c r="B299" s="5">
        <v>45689</v>
      </c>
      <c r="C299" s="4" t="s">
        <v>27</v>
      </c>
      <c r="D299" s="4" t="s">
        <v>18</v>
      </c>
      <c r="E299" s="4">
        <v>55477.61</v>
      </c>
      <c r="F299" s="4">
        <v>5903</v>
      </c>
      <c r="G299" s="4">
        <v>0.10199999999999999</v>
      </c>
      <c r="H299" s="4">
        <v>14</v>
      </c>
      <c r="I299" s="4">
        <v>96.2</v>
      </c>
      <c r="J299" s="4">
        <v>1.41</v>
      </c>
      <c r="K299" s="4">
        <v>0</v>
      </c>
      <c r="L299">
        <v>3.3</v>
      </c>
      <c r="M299" s="4">
        <v>763162.45</v>
      </c>
      <c r="N299" s="4">
        <v>162524.04999999999</v>
      </c>
      <c r="P299">
        <f t="shared" si="20"/>
        <v>1</v>
      </c>
      <c r="Q299">
        <f t="shared" si="21"/>
        <v>0</v>
      </c>
      <c r="S299">
        <f t="shared" si="22"/>
        <v>0</v>
      </c>
      <c r="T299" s="4">
        <f t="shared" si="23"/>
        <v>0</v>
      </c>
      <c r="U299">
        <f t="shared" si="24"/>
        <v>1</v>
      </c>
      <c r="X299" s="4"/>
    </row>
    <row r="300" spans="1:24">
      <c r="A300" s="4" t="s">
        <v>96</v>
      </c>
      <c r="B300" s="5">
        <v>45717</v>
      </c>
      <c r="C300" s="4" t="s">
        <v>27</v>
      </c>
      <c r="D300" s="4" t="s">
        <v>18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 s="4">
        <v>0</v>
      </c>
      <c r="L300">
        <v>3.1</v>
      </c>
      <c r="M300" s="4">
        <v>599017.32999999996</v>
      </c>
      <c r="N300" s="4">
        <v>134009.92000000001</v>
      </c>
      <c r="P300">
        <f t="shared" si="20"/>
        <v>1</v>
      </c>
      <c r="Q300">
        <f t="shared" si="21"/>
        <v>0</v>
      </c>
      <c r="S300">
        <f t="shared" si="22"/>
        <v>0</v>
      </c>
      <c r="T300" s="4">
        <f t="shared" si="23"/>
        <v>0</v>
      </c>
      <c r="U300">
        <f t="shared" si="24"/>
        <v>1</v>
      </c>
      <c r="X300" s="4"/>
    </row>
    <row r="301" spans="1:24">
      <c r="A301" s="4" t="s">
        <v>96</v>
      </c>
      <c r="B301" s="5">
        <v>45748</v>
      </c>
      <c r="C301" s="4" t="s">
        <v>27</v>
      </c>
      <c r="D301" s="4" t="s">
        <v>18</v>
      </c>
      <c r="E301" s="4">
        <v>24362.98</v>
      </c>
      <c r="F301" s="4">
        <v>1462</v>
      </c>
      <c r="G301" s="4">
        <v>0.11700000000000001</v>
      </c>
      <c r="H301" s="4">
        <v>6</v>
      </c>
      <c r="I301" s="4">
        <v>89.3</v>
      </c>
      <c r="J301" s="4">
        <v>15.06</v>
      </c>
      <c r="K301" s="4">
        <v>0</v>
      </c>
      <c r="L301">
        <v>3.2</v>
      </c>
      <c r="M301" s="4">
        <v>401582.58</v>
      </c>
      <c r="N301" s="4">
        <v>68454.929999999993</v>
      </c>
      <c r="P301">
        <f t="shared" si="20"/>
        <v>1</v>
      </c>
      <c r="Q301">
        <f t="shared" si="21"/>
        <v>0</v>
      </c>
      <c r="S301">
        <f t="shared" si="22"/>
        <v>0</v>
      </c>
      <c r="T301" s="4">
        <f t="shared" si="23"/>
        <v>0</v>
      </c>
      <c r="U301">
        <f t="shared" si="24"/>
        <v>1</v>
      </c>
      <c r="X301" s="4"/>
    </row>
    <row r="302" spans="1:24">
      <c r="A302" s="4" t="s">
        <v>97</v>
      </c>
      <c r="B302" s="5">
        <v>45658</v>
      </c>
      <c r="C302" s="4" t="s">
        <v>20</v>
      </c>
      <c r="D302" s="4" t="s">
        <v>28</v>
      </c>
      <c r="E302" s="4">
        <v>40647.67</v>
      </c>
      <c r="F302" s="4">
        <v>8252</v>
      </c>
      <c r="G302" s="4">
        <v>0.14099999999999999</v>
      </c>
      <c r="H302" s="4">
        <v>22</v>
      </c>
      <c r="I302" s="4">
        <v>88.2</v>
      </c>
      <c r="J302" s="4">
        <v>5.07</v>
      </c>
      <c r="K302" s="4">
        <v>1</v>
      </c>
      <c r="L302">
        <v>4.0999999999999996</v>
      </c>
      <c r="M302" s="4">
        <v>703812.99</v>
      </c>
      <c r="N302" s="4">
        <v>133577.98000000001</v>
      </c>
      <c r="P302">
        <f t="shared" si="20"/>
        <v>0</v>
      </c>
      <c r="Q302">
        <f t="shared" si="21"/>
        <v>0</v>
      </c>
      <c r="S302">
        <f t="shared" si="22"/>
        <v>1</v>
      </c>
      <c r="T302" s="4">
        <f t="shared" si="23"/>
        <v>0</v>
      </c>
      <c r="U302">
        <f t="shared" si="24"/>
        <v>0</v>
      </c>
      <c r="X302" s="4"/>
    </row>
    <row r="303" spans="1:24">
      <c r="A303" s="4" t="s">
        <v>97</v>
      </c>
      <c r="B303" s="5">
        <v>45689</v>
      </c>
      <c r="C303" s="4" t="s">
        <v>20</v>
      </c>
      <c r="D303" s="4" t="s">
        <v>28</v>
      </c>
      <c r="E303" s="4">
        <v>63986.98</v>
      </c>
      <c r="F303" s="4">
        <v>7989</v>
      </c>
      <c r="G303" s="4">
        <v>7.3999999999999996E-2</v>
      </c>
      <c r="H303" s="4">
        <v>20</v>
      </c>
      <c r="I303" s="4">
        <v>83.3</v>
      </c>
      <c r="J303" s="4">
        <v>3.6</v>
      </c>
      <c r="K303" s="4">
        <v>0</v>
      </c>
      <c r="L303">
        <v>3.7</v>
      </c>
      <c r="M303" s="4">
        <v>724346.73</v>
      </c>
      <c r="N303" s="4">
        <v>155013.91</v>
      </c>
      <c r="P303">
        <f t="shared" si="20"/>
        <v>0</v>
      </c>
      <c r="Q303">
        <f t="shared" si="21"/>
        <v>0</v>
      </c>
      <c r="S303">
        <f t="shared" si="22"/>
        <v>1</v>
      </c>
      <c r="T303" s="4">
        <f t="shared" si="23"/>
        <v>0</v>
      </c>
      <c r="U303">
        <f t="shared" si="24"/>
        <v>0</v>
      </c>
      <c r="X303" s="4"/>
    </row>
    <row r="304" spans="1:24">
      <c r="A304" s="4" t="s">
        <v>97</v>
      </c>
      <c r="B304" s="5">
        <v>45717</v>
      </c>
      <c r="C304" s="4" t="s">
        <v>20</v>
      </c>
      <c r="D304" s="4" t="s">
        <v>28</v>
      </c>
      <c r="E304" s="4">
        <v>52843.75</v>
      </c>
      <c r="F304" s="4">
        <v>8268</v>
      </c>
      <c r="G304" s="4">
        <v>0.13800000000000001</v>
      </c>
      <c r="H304" s="4">
        <v>19</v>
      </c>
      <c r="I304" s="4">
        <v>87.3</v>
      </c>
      <c r="J304" s="4">
        <v>4.3899999999999997</v>
      </c>
      <c r="K304" s="4">
        <v>1</v>
      </c>
      <c r="L304">
        <v>4.7</v>
      </c>
      <c r="M304" s="4">
        <v>730890.01</v>
      </c>
      <c r="N304" s="4">
        <v>105502.56</v>
      </c>
      <c r="P304">
        <f t="shared" si="20"/>
        <v>0</v>
      </c>
      <c r="Q304">
        <f t="shared" si="21"/>
        <v>0</v>
      </c>
      <c r="S304">
        <f t="shared" si="22"/>
        <v>1</v>
      </c>
      <c r="T304" s="4">
        <f t="shared" si="23"/>
        <v>0</v>
      </c>
      <c r="U304">
        <f t="shared" si="24"/>
        <v>0</v>
      </c>
      <c r="X304" s="4"/>
    </row>
    <row r="305" spans="1:24">
      <c r="A305" s="4" t="s">
        <v>97</v>
      </c>
      <c r="B305" s="5">
        <v>45748</v>
      </c>
      <c r="C305" s="4" t="s">
        <v>20</v>
      </c>
      <c r="D305" s="4" t="s">
        <v>28</v>
      </c>
      <c r="E305" s="4">
        <v>31997.25</v>
      </c>
      <c r="F305" s="4">
        <v>8183</v>
      </c>
      <c r="G305" s="4">
        <v>0.19800000000000001</v>
      </c>
      <c r="H305" s="4">
        <v>18</v>
      </c>
      <c r="I305" s="4">
        <v>93</v>
      </c>
      <c r="J305" s="4">
        <v>2.79</v>
      </c>
      <c r="K305" s="4">
        <v>0</v>
      </c>
      <c r="L305">
        <v>4.2</v>
      </c>
      <c r="M305" s="4">
        <v>780580.95</v>
      </c>
      <c r="N305" s="4">
        <v>138144.46</v>
      </c>
      <c r="P305">
        <f t="shared" si="20"/>
        <v>0</v>
      </c>
      <c r="Q305">
        <f t="shared" si="21"/>
        <v>0</v>
      </c>
      <c r="S305">
        <f t="shared" si="22"/>
        <v>1</v>
      </c>
      <c r="T305" s="4">
        <f t="shared" si="23"/>
        <v>0</v>
      </c>
      <c r="U305">
        <f t="shared" si="24"/>
        <v>0</v>
      </c>
      <c r="X305" s="4"/>
    </row>
    <row r="306" spans="1:24">
      <c r="A306" s="4" t="s">
        <v>98</v>
      </c>
      <c r="B306" s="5">
        <v>45658</v>
      </c>
      <c r="C306" s="4" t="s">
        <v>24</v>
      </c>
      <c r="D306" s="4" t="s">
        <v>16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 s="4">
        <v>0</v>
      </c>
      <c r="L306">
        <v>4</v>
      </c>
      <c r="M306" s="4">
        <v>727957.48</v>
      </c>
      <c r="N306" s="4">
        <v>74805.23</v>
      </c>
      <c r="P306">
        <f t="shared" si="20"/>
        <v>0</v>
      </c>
      <c r="Q306">
        <f t="shared" si="21"/>
        <v>1</v>
      </c>
      <c r="S306">
        <f t="shared" si="22"/>
        <v>0</v>
      </c>
      <c r="T306" s="4">
        <f t="shared" si="23"/>
        <v>1</v>
      </c>
      <c r="U306">
        <f t="shared" si="24"/>
        <v>0</v>
      </c>
      <c r="X306" s="4"/>
    </row>
    <row r="307" spans="1:24">
      <c r="A307" s="4" t="s">
        <v>98</v>
      </c>
      <c r="B307" s="5">
        <v>45689</v>
      </c>
      <c r="C307" s="4" t="s">
        <v>24</v>
      </c>
      <c r="D307" s="4" t="s">
        <v>16</v>
      </c>
      <c r="E307" s="4">
        <v>46146.239999999998</v>
      </c>
      <c r="F307" s="4">
        <v>5804</v>
      </c>
      <c r="G307" s="4">
        <v>4.7E-2</v>
      </c>
      <c r="H307" s="4">
        <v>16</v>
      </c>
      <c r="I307" s="4">
        <v>86.9</v>
      </c>
      <c r="J307" s="4">
        <v>15.82</v>
      </c>
      <c r="K307" s="4">
        <v>0</v>
      </c>
      <c r="L307">
        <v>3.8</v>
      </c>
      <c r="M307" s="4">
        <v>538376</v>
      </c>
      <c r="N307" s="4">
        <v>87605.62</v>
      </c>
      <c r="P307">
        <f t="shared" si="20"/>
        <v>0</v>
      </c>
      <c r="Q307">
        <f t="shared" si="21"/>
        <v>1</v>
      </c>
      <c r="S307">
        <f t="shared" si="22"/>
        <v>0</v>
      </c>
      <c r="T307" s="4">
        <f t="shared" si="23"/>
        <v>1</v>
      </c>
      <c r="U307">
        <f t="shared" si="24"/>
        <v>0</v>
      </c>
      <c r="X307" s="4"/>
    </row>
    <row r="308" spans="1:24">
      <c r="A308" s="4" t="s">
        <v>98</v>
      </c>
      <c r="B308" s="5">
        <v>45717</v>
      </c>
      <c r="C308" s="4" t="s">
        <v>24</v>
      </c>
      <c r="D308" s="4" t="s">
        <v>16</v>
      </c>
      <c r="E308" s="4">
        <v>22387.26</v>
      </c>
      <c r="F308" s="4">
        <v>6301</v>
      </c>
      <c r="G308" s="4">
        <v>0.14599999999999999</v>
      </c>
      <c r="H308" s="4">
        <v>14</v>
      </c>
      <c r="I308" s="4">
        <v>85.9</v>
      </c>
      <c r="J308" s="4">
        <v>1.17</v>
      </c>
      <c r="K308" s="4">
        <v>1</v>
      </c>
      <c r="L308">
        <v>3.7</v>
      </c>
      <c r="M308" s="4">
        <v>665342.49</v>
      </c>
      <c r="N308" s="4">
        <v>93441.81</v>
      </c>
      <c r="P308">
        <f t="shared" si="20"/>
        <v>0</v>
      </c>
      <c r="Q308">
        <f t="shared" si="21"/>
        <v>1</v>
      </c>
      <c r="S308">
        <f t="shared" si="22"/>
        <v>0</v>
      </c>
      <c r="T308" s="4">
        <f t="shared" si="23"/>
        <v>1</v>
      </c>
      <c r="U308">
        <f t="shared" si="24"/>
        <v>0</v>
      </c>
      <c r="X308" s="4"/>
    </row>
    <row r="309" spans="1:24">
      <c r="A309" s="4" t="s">
        <v>98</v>
      </c>
      <c r="B309" s="5">
        <v>45748</v>
      </c>
      <c r="C309" s="4" t="s">
        <v>24</v>
      </c>
      <c r="D309" s="4" t="s">
        <v>16</v>
      </c>
      <c r="E309" s="4">
        <v>60684.05</v>
      </c>
      <c r="F309" s="4">
        <v>6399</v>
      </c>
      <c r="G309" s="4">
        <v>7.4999999999999997E-2</v>
      </c>
      <c r="H309" s="4">
        <v>16</v>
      </c>
      <c r="I309" s="4">
        <v>99</v>
      </c>
      <c r="J309" s="4">
        <v>3.82</v>
      </c>
      <c r="K309" s="4">
        <v>0</v>
      </c>
      <c r="L309">
        <v>3.5</v>
      </c>
      <c r="M309" s="4">
        <v>651164.18000000005</v>
      </c>
      <c r="N309" s="4">
        <v>109466.5</v>
      </c>
      <c r="P309">
        <f t="shared" si="20"/>
        <v>0</v>
      </c>
      <c r="Q309">
        <f t="shared" si="21"/>
        <v>1</v>
      </c>
      <c r="S309">
        <f t="shared" si="22"/>
        <v>0</v>
      </c>
      <c r="T309" s="4">
        <f t="shared" si="23"/>
        <v>1</v>
      </c>
      <c r="U309">
        <f t="shared" si="24"/>
        <v>0</v>
      </c>
      <c r="X309" s="4"/>
    </row>
    <row r="310" spans="1:24">
      <c r="A310" s="4" t="s">
        <v>99</v>
      </c>
      <c r="B310" s="5">
        <v>45658</v>
      </c>
      <c r="C310" s="4" t="s">
        <v>24</v>
      </c>
      <c r="D310" s="4" t="s">
        <v>18</v>
      </c>
      <c r="E310" s="4">
        <v>48465.599999999999</v>
      </c>
      <c r="F310" s="4">
        <v>5759</v>
      </c>
      <c r="G310" s="4">
        <v>0.154</v>
      </c>
      <c r="H310" s="4">
        <v>13</v>
      </c>
      <c r="I310" s="4">
        <v>87.5</v>
      </c>
      <c r="J310" s="4">
        <v>4.1399999999999997</v>
      </c>
      <c r="K310" s="4">
        <v>0</v>
      </c>
      <c r="L310">
        <v>4</v>
      </c>
      <c r="M310" s="4">
        <v>628538.30000000005</v>
      </c>
      <c r="N310" s="4">
        <v>112509.15</v>
      </c>
      <c r="P310">
        <f t="shared" si="20"/>
        <v>1</v>
      </c>
      <c r="Q310">
        <f t="shared" si="21"/>
        <v>0</v>
      </c>
      <c r="S310">
        <f t="shared" si="22"/>
        <v>0</v>
      </c>
      <c r="T310" s="4">
        <f t="shared" si="23"/>
        <v>1</v>
      </c>
      <c r="U310">
        <f t="shared" si="24"/>
        <v>0</v>
      </c>
      <c r="X310" s="4"/>
    </row>
    <row r="311" spans="1:24">
      <c r="A311" s="4" t="s">
        <v>99</v>
      </c>
      <c r="B311" s="5">
        <v>45689</v>
      </c>
      <c r="C311" s="4" t="s">
        <v>24</v>
      </c>
      <c r="D311" s="4" t="s">
        <v>18</v>
      </c>
      <c r="E311" s="4">
        <v>23702.38</v>
      </c>
      <c r="F311" s="4">
        <v>5285</v>
      </c>
      <c r="G311" s="4">
        <v>0.16700000000000001</v>
      </c>
      <c r="H311" s="4">
        <v>14</v>
      </c>
      <c r="I311" s="4">
        <v>79.7</v>
      </c>
      <c r="J311" s="4">
        <v>1.1000000000000001</v>
      </c>
      <c r="K311" s="4">
        <v>0</v>
      </c>
      <c r="L311">
        <v>4.3</v>
      </c>
      <c r="M311" s="4">
        <v>536524.84</v>
      </c>
      <c r="N311" s="4">
        <v>92752.94</v>
      </c>
      <c r="P311">
        <f t="shared" si="20"/>
        <v>1</v>
      </c>
      <c r="Q311">
        <f t="shared" si="21"/>
        <v>0</v>
      </c>
      <c r="S311">
        <f t="shared" si="22"/>
        <v>0</v>
      </c>
      <c r="T311" s="4">
        <f t="shared" si="23"/>
        <v>1</v>
      </c>
      <c r="U311">
        <f t="shared" si="24"/>
        <v>0</v>
      </c>
      <c r="X311" s="4"/>
    </row>
    <row r="312" spans="1:24">
      <c r="A312" s="4" t="s">
        <v>99</v>
      </c>
      <c r="B312" s="5">
        <v>45717</v>
      </c>
      <c r="C312" s="4" t="s">
        <v>24</v>
      </c>
      <c r="D312" s="4" t="s">
        <v>18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 s="4">
        <v>0</v>
      </c>
      <c r="L312">
        <v>4.2</v>
      </c>
      <c r="M312" s="4">
        <v>621677.30000000005</v>
      </c>
      <c r="N312" s="4">
        <v>105192.52</v>
      </c>
      <c r="P312">
        <f t="shared" si="20"/>
        <v>1</v>
      </c>
      <c r="Q312">
        <f t="shared" si="21"/>
        <v>0</v>
      </c>
      <c r="S312">
        <f t="shared" si="22"/>
        <v>0</v>
      </c>
      <c r="T312" s="4">
        <f t="shared" si="23"/>
        <v>1</v>
      </c>
      <c r="U312">
        <f t="shared" si="24"/>
        <v>0</v>
      </c>
      <c r="X312" s="4"/>
    </row>
    <row r="313" spans="1:24">
      <c r="A313" s="4" t="s">
        <v>99</v>
      </c>
      <c r="B313" s="5">
        <v>45748</v>
      </c>
      <c r="C313" s="4" t="s">
        <v>24</v>
      </c>
      <c r="D313" s="4" t="s">
        <v>18</v>
      </c>
      <c r="E313" s="4">
        <v>86026.58</v>
      </c>
      <c r="F313" s="4">
        <v>7479</v>
      </c>
      <c r="G313" s="4">
        <v>0.14199999999999999</v>
      </c>
      <c r="H313" s="4">
        <v>20</v>
      </c>
      <c r="I313" s="4">
        <v>89</v>
      </c>
      <c r="J313" s="4">
        <v>0.9</v>
      </c>
      <c r="K313" s="4">
        <v>0</v>
      </c>
      <c r="L313">
        <v>3.9246794871794881</v>
      </c>
      <c r="M313" s="4">
        <v>771129.07</v>
      </c>
      <c r="N313" s="4">
        <v>116851.13</v>
      </c>
      <c r="P313">
        <f t="shared" si="20"/>
        <v>1</v>
      </c>
      <c r="Q313">
        <f t="shared" si="21"/>
        <v>0</v>
      </c>
      <c r="S313">
        <f t="shared" si="22"/>
        <v>0</v>
      </c>
      <c r="T313" s="4">
        <f t="shared" si="23"/>
        <v>1</v>
      </c>
      <c r="U313">
        <f t="shared" si="24"/>
        <v>0</v>
      </c>
      <c r="X313" s="4"/>
    </row>
    <row r="314" spans="1:24">
      <c r="A314" s="4" t="s">
        <v>100</v>
      </c>
      <c r="B314" s="5">
        <v>45658</v>
      </c>
      <c r="C314" s="4" t="s">
        <v>20</v>
      </c>
      <c r="D314" s="4" t="s">
        <v>16</v>
      </c>
      <c r="E314" s="4">
        <v>78967.520000000004</v>
      </c>
      <c r="F314" s="4">
        <v>6164</v>
      </c>
      <c r="G314" s="4">
        <v>2.1000000000000001E-2</v>
      </c>
      <c r="H314" s="4">
        <v>16</v>
      </c>
      <c r="I314" s="4">
        <v>85.5</v>
      </c>
      <c r="J314" s="4">
        <v>0.2</v>
      </c>
      <c r="K314" s="4">
        <v>0</v>
      </c>
      <c r="L314">
        <v>3.4</v>
      </c>
      <c r="M314" s="4">
        <v>702052.47</v>
      </c>
      <c r="N314" s="4">
        <v>121732.51</v>
      </c>
      <c r="P314">
        <f t="shared" si="20"/>
        <v>0</v>
      </c>
      <c r="Q314">
        <f t="shared" si="21"/>
        <v>1</v>
      </c>
      <c r="S314">
        <f t="shared" si="22"/>
        <v>1</v>
      </c>
      <c r="T314" s="4">
        <f t="shared" si="23"/>
        <v>0</v>
      </c>
      <c r="U314">
        <f t="shared" si="24"/>
        <v>0</v>
      </c>
      <c r="X314" s="4"/>
    </row>
    <row r="315" spans="1:24">
      <c r="A315" s="4" t="s">
        <v>100</v>
      </c>
      <c r="B315" s="5">
        <v>45689</v>
      </c>
      <c r="C315" s="4" t="s">
        <v>20</v>
      </c>
      <c r="D315" s="4" t="s">
        <v>16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 s="4">
        <v>0</v>
      </c>
      <c r="L315">
        <v>3.9246794871794881</v>
      </c>
      <c r="M315" s="4">
        <v>688368.46</v>
      </c>
      <c r="N315" s="4">
        <v>93588.42</v>
      </c>
      <c r="P315">
        <f t="shared" si="20"/>
        <v>0</v>
      </c>
      <c r="Q315">
        <f t="shared" si="21"/>
        <v>1</v>
      </c>
      <c r="S315">
        <f t="shared" si="22"/>
        <v>1</v>
      </c>
      <c r="T315" s="4">
        <f t="shared" si="23"/>
        <v>0</v>
      </c>
      <c r="U315">
        <f t="shared" si="24"/>
        <v>0</v>
      </c>
      <c r="X315" s="4"/>
    </row>
    <row r="316" spans="1:24">
      <c r="A316" s="4" t="s">
        <v>100</v>
      </c>
      <c r="B316" s="5">
        <v>45717</v>
      </c>
      <c r="C316" s="4" t="s">
        <v>20</v>
      </c>
      <c r="D316" s="4" t="s">
        <v>16</v>
      </c>
      <c r="E316" s="4">
        <v>62507.16</v>
      </c>
      <c r="F316" s="4">
        <v>6000</v>
      </c>
      <c r="G316" s="4">
        <v>9.0999999999999998E-2</v>
      </c>
      <c r="H316" s="4">
        <v>14</v>
      </c>
      <c r="I316" s="4">
        <v>98.2</v>
      </c>
      <c r="J316" s="4">
        <v>4.38</v>
      </c>
      <c r="K316" s="4">
        <v>1</v>
      </c>
      <c r="L316">
        <v>3.9</v>
      </c>
      <c r="M316" s="4">
        <v>712375.77</v>
      </c>
      <c r="N316" s="4">
        <v>104171.53</v>
      </c>
      <c r="P316">
        <f t="shared" si="20"/>
        <v>0</v>
      </c>
      <c r="Q316">
        <f t="shared" si="21"/>
        <v>1</v>
      </c>
      <c r="S316">
        <f t="shared" si="22"/>
        <v>1</v>
      </c>
      <c r="T316" s="4">
        <f t="shared" si="23"/>
        <v>0</v>
      </c>
      <c r="U316">
        <f t="shared" si="24"/>
        <v>0</v>
      </c>
      <c r="X316" s="4"/>
    </row>
    <row r="317" spans="1:24">
      <c r="A317" s="4" t="s">
        <v>100</v>
      </c>
      <c r="B317" s="5">
        <v>45748</v>
      </c>
      <c r="C317" s="4" t="s">
        <v>20</v>
      </c>
      <c r="D317" s="4" t="s">
        <v>16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4.4800000000000004</v>
      </c>
      <c r="K317" s="4">
        <v>0</v>
      </c>
      <c r="L317">
        <v>4.2</v>
      </c>
      <c r="M317" s="4">
        <v>844710.67</v>
      </c>
      <c r="N317" s="4">
        <v>137140.18</v>
      </c>
      <c r="P317">
        <f t="shared" si="20"/>
        <v>0</v>
      </c>
      <c r="Q317">
        <f t="shared" si="21"/>
        <v>1</v>
      </c>
      <c r="S317">
        <f t="shared" si="22"/>
        <v>1</v>
      </c>
      <c r="T317" s="4">
        <f t="shared" si="23"/>
        <v>0</v>
      </c>
      <c r="U317">
        <f t="shared" si="24"/>
        <v>0</v>
      </c>
      <c r="X317" s="4"/>
    </row>
    <row r="318" spans="1:24">
      <c r="A318" s="4" t="s">
        <v>101</v>
      </c>
      <c r="B318" s="5">
        <v>45658</v>
      </c>
      <c r="C318" s="4" t="s">
        <v>15</v>
      </c>
      <c r="D318" s="4" t="s">
        <v>16</v>
      </c>
      <c r="E318" s="4">
        <v>76614.320000000007</v>
      </c>
      <c r="F318" s="4">
        <v>5639</v>
      </c>
      <c r="G318" s="4">
        <v>0.17399999999999999</v>
      </c>
      <c r="H318" s="4">
        <v>15</v>
      </c>
      <c r="I318" s="4">
        <v>92.9</v>
      </c>
      <c r="J318" s="4">
        <v>1.02</v>
      </c>
      <c r="K318" s="4">
        <v>1</v>
      </c>
      <c r="L318">
        <v>4</v>
      </c>
      <c r="M318" s="4">
        <v>620264.19999999995</v>
      </c>
      <c r="N318" s="4">
        <v>91365.64</v>
      </c>
      <c r="P318">
        <f t="shared" si="20"/>
        <v>0</v>
      </c>
      <c r="Q318">
        <f t="shared" si="21"/>
        <v>1</v>
      </c>
      <c r="S318">
        <f t="shared" si="22"/>
        <v>0</v>
      </c>
      <c r="T318" s="4">
        <f t="shared" si="23"/>
        <v>0</v>
      </c>
      <c r="U318">
        <f t="shared" si="24"/>
        <v>0</v>
      </c>
      <c r="X318" s="4"/>
    </row>
    <row r="319" spans="1:24">
      <c r="A319" s="4" t="s">
        <v>101</v>
      </c>
      <c r="B319" s="5">
        <v>45689</v>
      </c>
      <c r="C319" s="4" t="s">
        <v>15</v>
      </c>
      <c r="D319" s="4" t="s">
        <v>16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 s="4">
        <v>0</v>
      </c>
      <c r="L319">
        <v>3.8</v>
      </c>
      <c r="M319" s="4">
        <v>536845.42000000004</v>
      </c>
      <c r="N319" s="4">
        <v>107473.75</v>
      </c>
      <c r="P319">
        <f t="shared" si="20"/>
        <v>0</v>
      </c>
      <c r="Q319">
        <f t="shared" si="21"/>
        <v>1</v>
      </c>
      <c r="S319">
        <f t="shared" si="22"/>
        <v>0</v>
      </c>
      <c r="T319" s="4">
        <f t="shared" si="23"/>
        <v>0</v>
      </c>
      <c r="U319">
        <f t="shared" si="24"/>
        <v>0</v>
      </c>
      <c r="X319" s="4"/>
    </row>
    <row r="320" spans="1:24">
      <c r="A320" s="4" t="s">
        <v>101</v>
      </c>
      <c r="B320" s="5">
        <v>45717</v>
      </c>
      <c r="C320" s="4" t="s">
        <v>15</v>
      </c>
      <c r="D320" s="4" t="s">
        <v>16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4.8899999999999997</v>
      </c>
      <c r="K320" s="4">
        <v>1</v>
      </c>
      <c r="L320">
        <v>4.2</v>
      </c>
      <c r="M320" s="4">
        <v>726776.22</v>
      </c>
      <c r="N320" s="4">
        <v>90804.49</v>
      </c>
      <c r="P320">
        <f t="shared" si="20"/>
        <v>0</v>
      </c>
      <c r="Q320">
        <f t="shared" si="21"/>
        <v>1</v>
      </c>
      <c r="S320">
        <f t="shared" si="22"/>
        <v>0</v>
      </c>
      <c r="T320" s="4">
        <f t="shared" si="23"/>
        <v>0</v>
      </c>
      <c r="U320">
        <f t="shared" si="24"/>
        <v>0</v>
      </c>
      <c r="X320" s="4"/>
    </row>
    <row r="321" spans="1:24">
      <c r="A321" s="4" t="s">
        <v>101</v>
      </c>
      <c r="B321" s="5">
        <v>45748</v>
      </c>
      <c r="C321" s="4" t="s">
        <v>15</v>
      </c>
      <c r="D321" s="4" t="s">
        <v>16</v>
      </c>
      <c r="E321" s="4">
        <v>40553.11</v>
      </c>
      <c r="F321" s="4">
        <v>5317</v>
      </c>
      <c r="G321" s="4">
        <v>0.16500000000000001</v>
      </c>
      <c r="H321" s="4">
        <v>17</v>
      </c>
      <c r="I321" s="4">
        <v>84.3</v>
      </c>
      <c r="J321" s="4">
        <v>11.82</v>
      </c>
      <c r="K321" s="4">
        <v>0</v>
      </c>
      <c r="L321">
        <v>4.0999999999999996</v>
      </c>
      <c r="M321" s="4">
        <v>559660.84</v>
      </c>
      <c r="N321" s="4">
        <v>71443.61</v>
      </c>
      <c r="P321">
        <f t="shared" si="20"/>
        <v>0</v>
      </c>
      <c r="Q321">
        <f t="shared" si="21"/>
        <v>1</v>
      </c>
      <c r="S321">
        <f t="shared" si="22"/>
        <v>0</v>
      </c>
      <c r="T321" s="4">
        <f t="shared" si="23"/>
        <v>0</v>
      </c>
      <c r="U321">
        <f t="shared" si="24"/>
        <v>0</v>
      </c>
      <c r="X32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4F61-3818-45D1-A996-818D9514D06E}">
  <dimension ref="C7:K24"/>
  <sheetViews>
    <sheetView topLeftCell="B1" zoomScale="87" workbookViewId="0">
      <selection activeCell="E22" sqref="E22"/>
    </sheetView>
  </sheetViews>
  <sheetFormatPr defaultRowHeight="14.25"/>
  <cols>
    <col min="1" max="1" width="18" bestFit="1" customWidth="1"/>
    <col min="2" max="2" width="11.875" bestFit="1" customWidth="1"/>
    <col min="3" max="3" width="18" bestFit="1" customWidth="1"/>
    <col min="4" max="4" width="12.25" bestFit="1" customWidth="1"/>
    <col min="5" max="5" width="13.625" bestFit="1" customWidth="1"/>
    <col min="6" max="7" width="12.375" bestFit="1" customWidth="1"/>
    <col min="8" max="8" width="12.875" bestFit="1" customWidth="1"/>
    <col min="9" max="11" width="12.25" bestFit="1" customWidth="1"/>
  </cols>
  <sheetData>
    <row r="7" spans="3:4">
      <c r="C7" t="s">
        <v>121</v>
      </c>
    </row>
    <row r="8" spans="3:4" ht="15" thickBot="1"/>
    <row r="9" spans="3:4">
      <c r="C9" s="9" t="s">
        <v>122</v>
      </c>
      <c r="D9" s="9"/>
    </row>
    <row r="10" spans="3:4">
      <c r="C10" s="1" t="s">
        <v>123</v>
      </c>
      <c r="D10" s="1">
        <v>0.40895561021322352</v>
      </c>
    </row>
    <row r="11" spans="3:4">
      <c r="C11" s="1" t="s">
        <v>124</v>
      </c>
      <c r="D11" s="1">
        <v>0.16724469112487</v>
      </c>
    </row>
    <row r="12" spans="3:4">
      <c r="C12" s="1" t="s">
        <v>125</v>
      </c>
      <c r="D12" s="1">
        <v>0.16462596373847024</v>
      </c>
    </row>
    <row r="13" spans="3:4">
      <c r="C13" s="1" t="s">
        <v>126</v>
      </c>
      <c r="D13" s="1">
        <v>94846.03383215853</v>
      </c>
    </row>
    <row r="14" spans="3:4" ht="15" thickBot="1">
      <c r="C14" s="7" t="s">
        <v>127</v>
      </c>
      <c r="D14" s="7">
        <v>320</v>
      </c>
    </row>
    <row r="16" spans="3:4" ht="15" thickBot="1">
      <c r="C16" t="s">
        <v>128</v>
      </c>
    </row>
    <row r="17" spans="3:11">
      <c r="C17" s="8"/>
      <c r="D17" s="8" t="s">
        <v>133</v>
      </c>
      <c r="E17" s="8" t="s">
        <v>134</v>
      </c>
      <c r="F17" s="8" t="s">
        <v>135</v>
      </c>
      <c r="G17" s="8" t="s">
        <v>136</v>
      </c>
      <c r="H17" s="8" t="s">
        <v>137</v>
      </c>
    </row>
    <row r="18" spans="3:11">
      <c r="C18" s="1" t="s">
        <v>129</v>
      </c>
      <c r="D18" s="1">
        <v>1</v>
      </c>
      <c r="E18" s="1">
        <v>574513714277.01416</v>
      </c>
      <c r="F18" s="1">
        <v>574513714277.01416</v>
      </c>
      <c r="G18" s="1">
        <v>63.864872683367629</v>
      </c>
      <c r="H18" s="1">
        <v>2.4800615101359619E-14</v>
      </c>
    </row>
    <row r="19" spans="3:11">
      <c r="C19" s="1" t="s">
        <v>130</v>
      </c>
      <c r="D19" s="1">
        <v>318</v>
      </c>
      <c r="E19" s="1">
        <v>2860654902513.7251</v>
      </c>
      <c r="F19" s="1">
        <v>8995770133.6909599</v>
      </c>
      <c r="G19" s="1"/>
      <c r="H19" s="1"/>
    </row>
    <row r="20" spans="3:11" ht="15" thickBot="1">
      <c r="C20" s="7" t="s">
        <v>131</v>
      </c>
      <c r="D20" s="7">
        <v>319</v>
      </c>
      <c r="E20" s="7">
        <v>3435168616790.7393</v>
      </c>
      <c r="F20" s="7"/>
      <c r="G20" s="7"/>
      <c r="H20" s="7"/>
    </row>
    <row r="21" spans="3:11" ht="15" thickBot="1"/>
    <row r="22" spans="3:11">
      <c r="C22" s="8"/>
      <c r="D22" s="8" t="s">
        <v>138</v>
      </c>
      <c r="E22" s="8" t="s">
        <v>126</v>
      </c>
      <c r="F22" s="8" t="s">
        <v>139</v>
      </c>
      <c r="G22" s="8" t="s">
        <v>140</v>
      </c>
      <c r="H22" s="8" t="s">
        <v>141</v>
      </c>
      <c r="I22" s="8" t="s">
        <v>142</v>
      </c>
      <c r="J22" s="8" t="s">
        <v>143</v>
      </c>
      <c r="K22" s="8" t="s">
        <v>144</v>
      </c>
    </row>
    <row r="23" spans="3:11">
      <c r="C23" s="1" t="s">
        <v>132</v>
      </c>
      <c r="D23" s="1">
        <v>560777.34544943704</v>
      </c>
      <c r="E23" s="1">
        <v>15906.905953068674</v>
      </c>
      <c r="F23" s="1">
        <v>35.253703460870398</v>
      </c>
      <c r="G23" s="1">
        <v>6.952876876284135E-112</v>
      </c>
      <c r="H23" s="1">
        <v>529481.27234763221</v>
      </c>
      <c r="I23" s="1">
        <v>592073.41855124186</v>
      </c>
      <c r="J23" s="1">
        <v>529481.27234763221</v>
      </c>
      <c r="K23" s="1">
        <v>592073.41855124186</v>
      </c>
    </row>
    <row r="24" spans="3:11" ht="15" thickBot="1">
      <c r="C24" s="7" t="s">
        <v>4</v>
      </c>
      <c r="D24" s="7">
        <v>2.1295753275898281</v>
      </c>
      <c r="E24" s="7">
        <v>0.26647838106932348</v>
      </c>
      <c r="F24" s="7">
        <v>7.991550080138869</v>
      </c>
      <c r="G24" s="7">
        <v>2.4800615101360068E-14</v>
      </c>
      <c r="H24" s="7">
        <v>1.6052919176921738</v>
      </c>
      <c r="I24" s="7">
        <v>2.6538587374874822</v>
      </c>
      <c r="J24" s="7">
        <v>1.6052919176921738</v>
      </c>
      <c r="K24" s="7">
        <v>2.6538587374874822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7EA2-0A69-4A8E-BAEA-93405C0AE2FF}">
  <dimension ref="D10:L27"/>
  <sheetViews>
    <sheetView topLeftCell="C1" zoomScale="91" workbookViewId="0">
      <selection activeCell="J21" sqref="J21"/>
    </sheetView>
  </sheetViews>
  <sheetFormatPr defaultRowHeight="14.25"/>
  <cols>
    <col min="1" max="1" width="18" bestFit="1" customWidth="1"/>
    <col min="2" max="2" width="11.875" bestFit="1" customWidth="1"/>
    <col min="3" max="3" width="13.5" bestFit="1" customWidth="1"/>
    <col min="4" max="4" width="18" bestFit="1" customWidth="1"/>
    <col min="5" max="5" width="12.375" bestFit="1" customWidth="1"/>
    <col min="6" max="6" width="13.75" bestFit="1" customWidth="1"/>
    <col min="7" max="8" width="12.5" bestFit="1" customWidth="1"/>
    <col min="9" max="9" width="13" bestFit="1" customWidth="1"/>
    <col min="10" max="12" width="12.375" bestFit="1" customWidth="1"/>
  </cols>
  <sheetData>
    <row r="10" spans="4:5">
      <c r="D10" t="s">
        <v>121</v>
      </c>
    </row>
    <row r="11" spans="4:5" ht="15" thickBot="1"/>
    <row r="12" spans="4:5">
      <c r="D12" s="9" t="s">
        <v>122</v>
      </c>
      <c r="E12" s="9"/>
    </row>
    <row r="13" spans="4:5">
      <c r="D13" s="1" t="s">
        <v>123</v>
      </c>
      <c r="E13" s="1">
        <v>0.85807070804410468</v>
      </c>
    </row>
    <row r="14" spans="4:5">
      <c r="D14" s="1" t="s">
        <v>124</v>
      </c>
      <c r="E14" s="1">
        <v>0.73628534000331103</v>
      </c>
    </row>
    <row r="15" spans="4:5">
      <c r="D15" s="1" t="s">
        <v>125</v>
      </c>
      <c r="E15" s="1">
        <v>0.73545604861967373</v>
      </c>
    </row>
    <row r="16" spans="4:5">
      <c r="D16" s="1" t="s">
        <v>126</v>
      </c>
      <c r="E16" s="1">
        <v>53373.736380790499</v>
      </c>
    </row>
    <row r="17" spans="4:12" ht="15" thickBot="1">
      <c r="D17" s="7" t="s">
        <v>127</v>
      </c>
      <c r="E17" s="7">
        <v>320</v>
      </c>
    </row>
    <row r="19" spans="4:12" ht="15" thickBot="1">
      <c r="D19" t="s">
        <v>128</v>
      </c>
    </row>
    <row r="20" spans="4:12">
      <c r="D20" s="8"/>
      <c r="E20" s="8" t="s">
        <v>133</v>
      </c>
      <c r="F20" s="8" t="s">
        <v>134</v>
      </c>
      <c r="G20" s="8" t="s">
        <v>135</v>
      </c>
      <c r="H20" s="8" t="s">
        <v>136</v>
      </c>
      <c r="I20" s="8" t="s">
        <v>137</v>
      </c>
    </row>
    <row r="21" spans="4:12">
      <c r="D21" s="1" t="s">
        <v>129</v>
      </c>
      <c r="E21" s="1">
        <v>1</v>
      </c>
      <c r="F21" s="1">
        <v>2529264292982.4736</v>
      </c>
      <c r="G21" s="1">
        <v>2529264292982.4736</v>
      </c>
      <c r="H21" s="1">
        <v>887.84877611276033</v>
      </c>
      <c r="I21" s="1">
        <v>4.7503615090053331E-94</v>
      </c>
    </row>
    <row r="22" spans="4:12">
      <c r="D22" s="1" t="s">
        <v>130</v>
      </c>
      <c r="E22" s="1">
        <v>318</v>
      </c>
      <c r="F22" s="1">
        <v>905904323808.26587</v>
      </c>
      <c r="G22" s="1">
        <v>2848755735.246119</v>
      </c>
      <c r="H22" s="1"/>
      <c r="I22" s="1"/>
    </row>
    <row r="23" spans="4:12" ht="15" thickBot="1">
      <c r="D23" s="7" t="s">
        <v>131</v>
      </c>
      <c r="E23" s="7">
        <v>319</v>
      </c>
      <c r="F23" s="7">
        <v>3435168616790.7393</v>
      </c>
      <c r="G23" s="7"/>
      <c r="H23" s="7"/>
      <c r="I23" s="7"/>
    </row>
    <row r="24" spans="4:12" ht="15" thickBot="1"/>
    <row r="25" spans="4:12">
      <c r="D25" s="8"/>
      <c r="E25" s="8" t="s">
        <v>138</v>
      </c>
      <c r="F25" s="8" t="s">
        <v>126</v>
      </c>
      <c r="G25" s="8" t="s">
        <v>139</v>
      </c>
      <c r="H25" s="8" t="s">
        <v>140</v>
      </c>
      <c r="I25" s="8" t="s">
        <v>141</v>
      </c>
      <c r="J25" s="8" t="s">
        <v>142</v>
      </c>
      <c r="K25" s="8" t="s">
        <v>143</v>
      </c>
      <c r="L25" s="8" t="s">
        <v>144</v>
      </c>
    </row>
    <row r="26" spans="4:12">
      <c r="D26" s="1" t="s">
        <v>132</v>
      </c>
      <c r="E26" s="1">
        <v>446410.58293395344</v>
      </c>
      <c r="F26" s="1">
        <v>8407.7382630059928</v>
      </c>
      <c r="G26" s="1">
        <v>53.095204556754318</v>
      </c>
      <c r="H26" s="1">
        <v>4.0862695711507226E-160</v>
      </c>
      <c r="I26" s="1">
        <v>429868.76191129786</v>
      </c>
      <c r="J26" s="1">
        <v>462952.40395660902</v>
      </c>
      <c r="K26" s="1">
        <v>429868.76191129786</v>
      </c>
      <c r="L26" s="1">
        <v>462952.40395660902</v>
      </c>
    </row>
    <row r="27" spans="4:12" ht="15" thickBot="1">
      <c r="D27" s="7" t="s">
        <v>5</v>
      </c>
      <c r="E27" s="7">
        <v>35.678031072640458</v>
      </c>
      <c r="F27" s="7">
        <v>1.1973782890340821</v>
      </c>
      <c r="G27" s="7">
        <v>29.796791372776362</v>
      </c>
      <c r="H27" s="7">
        <v>4.7503615090054677E-94</v>
      </c>
      <c r="I27" s="7">
        <v>33.322246825554025</v>
      </c>
      <c r="J27" s="7">
        <v>38.033815319726891</v>
      </c>
      <c r="K27" s="7">
        <v>33.322246825554025</v>
      </c>
      <c r="L27" s="7">
        <v>38.033815319726891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2C9F-8E1E-4904-990E-1FE038B54B75}">
  <dimension ref="C7:K29"/>
  <sheetViews>
    <sheetView topLeftCell="B1" zoomScale="84" workbookViewId="0">
      <selection activeCell="G27" sqref="G27"/>
    </sheetView>
  </sheetViews>
  <sheetFormatPr defaultRowHeight="14.25"/>
  <cols>
    <col min="1" max="1" width="21" bestFit="1" customWidth="1"/>
    <col min="2" max="2" width="11.875" bestFit="1" customWidth="1"/>
    <col min="3" max="3" width="21" bestFit="1" customWidth="1"/>
    <col min="4" max="4" width="11.875" bestFit="1" customWidth="1"/>
    <col min="5" max="5" width="13.5" bestFit="1" customWidth="1"/>
    <col min="6" max="7" width="12.25" bestFit="1" customWidth="1"/>
    <col min="8" max="8" width="12.875" bestFit="1" customWidth="1"/>
    <col min="9" max="9" width="11.875" bestFit="1" customWidth="1"/>
    <col min="10" max="10" width="12.5" bestFit="1" customWidth="1"/>
    <col min="11" max="11" width="12" bestFit="1" customWidth="1"/>
  </cols>
  <sheetData>
    <row r="7" spans="3:4">
      <c r="C7" t="s">
        <v>121</v>
      </c>
    </row>
    <row r="8" spans="3:4" ht="15" thickBot="1"/>
    <row r="9" spans="3:4">
      <c r="C9" s="9" t="s">
        <v>122</v>
      </c>
      <c r="D9" s="9"/>
    </row>
    <row r="10" spans="3:4">
      <c r="C10" s="1" t="s">
        <v>123</v>
      </c>
      <c r="D10" s="1">
        <v>0.90077515418389342</v>
      </c>
    </row>
    <row r="11" spans="3:4">
      <c r="C11" s="1" t="s">
        <v>124</v>
      </c>
      <c r="D11" s="1">
        <v>0.81139587839501703</v>
      </c>
    </row>
    <row r="12" spans="3:4">
      <c r="C12" s="1" t="s">
        <v>125</v>
      </c>
      <c r="D12" s="1">
        <v>0.80778046392335601</v>
      </c>
    </row>
    <row r="13" spans="3:4">
      <c r="C13" s="1" t="s">
        <v>126</v>
      </c>
      <c r="D13" s="1">
        <v>45496.443688382577</v>
      </c>
    </row>
    <row r="14" spans="3:4" ht="15" thickBot="1">
      <c r="C14" s="7" t="s">
        <v>127</v>
      </c>
      <c r="D14" s="7">
        <v>320</v>
      </c>
    </row>
    <row r="16" spans="3:4" ht="15" thickBot="1">
      <c r="C16" t="s">
        <v>128</v>
      </c>
    </row>
    <row r="17" spans="3:11">
      <c r="C17" s="8"/>
      <c r="D17" s="8" t="s">
        <v>133</v>
      </c>
      <c r="E17" s="8" t="s">
        <v>134</v>
      </c>
      <c r="F17" s="8" t="s">
        <v>135</v>
      </c>
      <c r="G17" s="8" t="s">
        <v>136</v>
      </c>
      <c r="H17" s="8" t="s">
        <v>137</v>
      </c>
    </row>
    <row r="18" spans="3:11">
      <c r="C18" s="1" t="s">
        <v>129</v>
      </c>
      <c r="D18" s="1">
        <v>6</v>
      </c>
      <c r="E18" s="1">
        <v>2787281657255.917</v>
      </c>
      <c r="F18" s="1">
        <v>464546942875.98615</v>
      </c>
      <c r="G18" s="1">
        <v>224.42679387247122</v>
      </c>
      <c r="H18" s="1">
        <v>3.4656671817227962E-110</v>
      </c>
    </row>
    <row r="19" spans="3:11">
      <c r="C19" s="1" t="s">
        <v>130</v>
      </c>
      <c r="D19" s="1">
        <v>313</v>
      </c>
      <c r="E19" s="1">
        <v>647886959534.82227</v>
      </c>
      <c r="F19" s="1">
        <v>2069926388.2901671</v>
      </c>
      <c r="G19" s="1"/>
      <c r="H19" s="1"/>
    </row>
    <row r="20" spans="3:11" ht="15" thickBot="1">
      <c r="C20" s="7" t="s">
        <v>131</v>
      </c>
      <c r="D20" s="7">
        <v>319</v>
      </c>
      <c r="E20" s="7">
        <v>3435168616790.7393</v>
      </c>
      <c r="F20" s="7"/>
      <c r="G20" s="7"/>
      <c r="H20" s="7"/>
    </row>
    <row r="21" spans="3:11" ht="15" thickBot="1"/>
    <row r="22" spans="3:11">
      <c r="C22" s="8"/>
      <c r="D22" s="8" t="s">
        <v>138</v>
      </c>
      <c r="E22" s="8" t="s">
        <v>126</v>
      </c>
      <c r="F22" s="8" t="s">
        <v>139</v>
      </c>
      <c r="G22" s="8" t="s">
        <v>140</v>
      </c>
      <c r="H22" s="8" t="s">
        <v>141</v>
      </c>
      <c r="I22" s="8" t="s">
        <v>142</v>
      </c>
      <c r="J22" s="8" t="s">
        <v>143</v>
      </c>
      <c r="K22" s="8" t="s">
        <v>144</v>
      </c>
    </row>
    <row r="23" spans="3:11">
      <c r="C23" s="1" t="s">
        <v>132</v>
      </c>
      <c r="D23" s="1">
        <v>131460.30715141507</v>
      </c>
      <c r="E23" s="1">
        <v>43482.51093710342</v>
      </c>
      <c r="F23" s="1">
        <v>3.0232915330388752</v>
      </c>
      <c r="G23" s="1">
        <v>2.707148341697223E-3</v>
      </c>
      <c r="H23" s="1">
        <v>45905.335294584569</v>
      </c>
      <c r="I23" s="1">
        <v>217015.27900824556</v>
      </c>
      <c r="J23" s="1">
        <v>45905.335294584569</v>
      </c>
      <c r="K23" s="1">
        <v>217015.27900824556</v>
      </c>
    </row>
    <row r="24" spans="3:11">
      <c r="C24" s="1" t="s">
        <v>4</v>
      </c>
      <c r="D24" s="1">
        <v>1.1859141301575513</v>
      </c>
      <c r="E24" s="1">
        <v>0.13170320181029177</v>
      </c>
      <c r="F24" s="1">
        <v>9.0044441885761319</v>
      </c>
      <c r="G24" s="1">
        <v>2.1662838111126193E-17</v>
      </c>
      <c r="H24" s="1">
        <v>0.92677859539892804</v>
      </c>
      <c r="I24" s="1">
        <v>1.4450496649161746</v>
      </c>
      <c r="J24" s="1">
        <v>0.92677859539892804</v>
      </c>
      <c r="K24" s="1">
        <v>1.4450496649161746</v>
      </c>
    </row>
    <row r="25" spans="3:11">
      <c r="C25" s="1" t="s">
        <v>5</v>
      </c>
      <c r="D25" s="1">
        <v>33.870420780385572</v>
      </c>
      <c r="E25" s="1">
        <v>1.0555073594398827</v>
      </c>
      <c r="F25" s="1">
        <v>32.089232232695473</v>
      </c>
      <c r="G25" s="1">
        <v>5.4207612326489823E-101</v>
      </c>
      <c r="H25" s="1">
        <v>31.793634033590305</v>
      </c>
      <c r="I25" s="1">
        <v>35.947207527180836</v>
      </c>
      <c r="J25" s="1">
        <v>31.793634033590305</v>
      </c>
      <c r="K25" s="1">
        <v>35.947207527180836</v>
      </c>
    </row>
    <row r="26" spans="3:11">
      <c r="C26" s="1" t="s">
        <v>8</v>
      </c>
      <c r="D26" s="1">
        <v>2818.2067785413183</v>
      </c>
      <c r="E26" s="1">
        <v>477.78799931217026</v>
      </c>
      <c r="F26" s="1">
        <v>5.898446136358479</v>
      </c>
      <c r="G26" s="1">
        <v>9.5138069127620582E-9</v>
      </c>
      <c r="H26" s="1">
        <v>1878.1244798485855</v>
      </c>
      <c r="I26" s="1">
        <v>3758.2890772340511</v>
      </c>
      <c r="J26" s="1">
        <v>1878.1244798485855</v>
      </c>
      <c r="K26" s="1">
        <v>3758.2890772340511</v>
      </c>
    </row>
    <row r="27" spans="3:11">
      <c r="C27" s="1" t="s">
        <v>118</v>
      </c>
      <c r="D27" s="1">
        <v>10547.379633205521</v>
      </c>
      <c r="E27" s="1">
        <v>7279.4610633638204</v>
      </c>
      <c r="F27" s="1">
        <v>1.4489231471116082</v>
      </c>
      <c r="G27" s="1">
        <v>0.14836013200257786</v>
      </c>
      <c r="H27" s="1">
        <v>-3775.4842720055713</v>
      </c>
      <c r="I27" s="1">
        <v>24870.243538416613</v>
      </c>
      <c r="J27" s="1">
        <v>-3775.4842720055713</v>
      </c>
      <c r="K27" s="1">
        <v>24870.243538416613</v>
      </c>
    </row>
    <row r="28" spans="3:11">
      <c r="C28" s="1" t="s">
        <v>119</v>
      </c>
      <c r="D28" s="1">
        <v>21940.488280723283</v>
      </c>
      <c r="E28" s="1">
        <v>7387.4442690041069</v>
      </c>
      <c r="F28" s="1">
        <v>2.9699700575448205</v>
      </c>
      <c r="G28" s="1">
        <v>3.2086296080736328E-3</v>
      </c>
      <c r="H28" s="1">
        <v>7405.1596415199801</v>
      </c>
      <c r="I28" s="1">
        <v>36475.816919926583</v>
      </c>
      <c r="J28" s="1">
        <v>7405.1596415199801</v>
      </c>
      <c r="K28" s="1">
        <v>36475.816919926583</v>
      </c>
    </row>
    <row r="29" spans="3:11" ht="15" thickBot="1">
      <c r="C29" s="7" t="s">
        <v>120</v>
      </c>
      <c r="D29" s="7">
        <v>17491.371573132299</v>
      </c>
      <c r="E29" s="7">
        <v>6556.1713077557897</v>
      </c>
      <c r="F29" s="7">
        <v>2.6679247310759608</v>
      </c>
      <c r="G29" s="7">
        <v>8.0294951342906994E-3</v>
      </c>
      <c r="H29" s="7">
        <v>4591.632353036297</v>
      </c>
      <c r="I29" s="7">
        <v>30391.110793228294</v>
      </c>
      <c r="J29" s="7">
        <v>4591.632353036297</v>
      </c>
      <c r="K29" s="7">
        <v>30391.110793228294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3E82-04A6-4029-8E2B-35F82FFD9349}">
  <dimension ref="B3:N14"/>
  <sheetViews>
    <sheetView tabSelected="1" workbookViewId="0">
      <selection activeCell="M4" sqref="M4"/>
    </sheetView>
  </sheetViews>
  <sheetFormatPr defaultRowHeight="14.25"/>
  <cols>
    <col min="1" max="2" width="21" bestFit="1" customWidth="1"/>
    <col min="3" max="3" width="16.5" bestFit="1" customWidth="1"/>
    <col min="4" max="5" width="9.25" bestFit="1" customWidth="1"/>
    <col min="6" max="6" width="11.625" bestFit="1" customWidth="1"/>
    <col min="7" max="7" width="15" bestFit="1" customWidth="1"/>
    <col min="8" max="8" width="10.375" bestFit="1" customWidth="1"/>
    <col min="9" max="9" width="9.25" bestFit="1" customWidth="1"/>
    <col min="10" max="10" width="11.625" bestFit="1" customWidth="1"/>
    <col min="11" max="11" width="9.25" bestFit="1" customWidth="1"/>
    <col min="12" max="13" width="10.375" bestFit="1" customWidth="1"/>
    <col min="14" max="14" width="11" bestFit="1" customWidth="1"/>
  </cols>
  <sheetData>
    <row r="3" spans="2:14" ht="15" thickBot="1"/>
    <row r="4" spans="2:14">
      <c r="B4" s="8"/>
      <c r="C4" s="8" t="s">
        <v>138</v>
      </c>
    </row>
    <row r="5" spans="2:14" ht="15">
      <c r="B5" s="1" t="s">
        <v>132</v>
      </c>
      <c r="C5" s="1">
        <v>131460.30715141507</v>
      </c>
      <c r="E5" s="20" t="s">
        <v>176</v>
      </c>
      <c r="F5" s="20"/>
      <c r="G5" s="20"/>
      <c r="H5" s="20"/>
    </row>
    <row r="6" spans="2:14" ht="15">
      <c r="B6" s="1" t="s">
        <v>4</v>
      </c>
      <c r="C6" s="1">
        <v>1.1859141301575513</v>
      </c>
      <c r="K6" s="20" t="s">
        <v>177</v>
      </c>
      <c r="L6" s="20"/>
      <c r="M6" s="20"/>
      <c r="N6" s="20"/>
    </row>
    <row r="7" spans="2:14" ht="15">
      <c r="B7" s="1" t="s">
        <v>5</v>
      </c>
      <c r="C7" s="1">
        <v>33.870420780385572</v>
      </c>
      <c r="E7" s="10" t="s">
        <v>173</v>
      </c>
      <c r="F7" s="17" t="s">
        <v>174</v>
      </c>
      <c r="G7" s="17" t="s">
        <v>175</v>
      </c>
      <c r="H7" s="17" t="s">
        <v>130</v>
      </c>
    </row>
    <row r="8" spans="2:14" ht="30">
      <c r="B8" s="1" t="s">
        <v>8</v>
      </c>
      <c r="C8" s="1">
        <v>2818.2067785413183</v>
      </c>
      <c r="E8" s="11" t="s">
        <v>49</v>
      </c>
      <c r="F8" s="18">
        <v>713611.16</v>
      </c>
      <c r="G8" s="18">
        <v>590071.86</v>
      </c>
      <c r="H8" s="19">
        <f>F8-G8</f>
        <v>123539.30000000005</v>
      </c>
      <c r="K8" s="10" t="s">
        <v>173</v>
      </c>
      <c r="L8" s="17" t="s">
        <v>174</v>
      </c>
      <c r="M8" s="17" t="s">
        <v>175</v>
      </c>
      <c r="N8" s="17" t="s">
        <v>130</v>
      </c>
    </row>
    <row r="9" spans="2:14">
      <c r="B9" s="1" t="s">
        <v>118</v>
      </c>
      <c r="C9" s="1">
        <v>10547.379633205521</v>
      </c>
      <c r="E9" s="11" t="s">
        <v>47</v>
      </c>
      <c r="F9" s="18">
        <v>625514.04</v>
      </c>
      <c r="G9" s="18">
        <v>511045.81</v>
      </c>
      <c r="H9" s="19">
        <f>F9-G9</f>
        <v>114468.23000000004</v>
      </c>
      <c r="K9" s="11" t="s">
        <v>38</v>
      </c>
      <c r="L9" s="18">
        <v>685379.08</v>
      </c>
      <c r="M9" s="18">
        <v>848156.22</v>
      </c>
      <c r="N9" s="19">
        <f>L9-M9</f>
        <v>-162777.14000000001</v>
      </c>
    </row>
    <row r="10" spans="2:14">
      <c r="B10" s="1" t="s">
        <v>119</v>
      </c>
      <c r="C10" s="1">
        <v>21940.488280723283</v>
      </c>
      <c r="E10" s="11" t="s">
        <v>72</v>
      </c>
      <c r="F10" s="18">
        <v>787715.51</v>
      </c>
      <c r="G10" s="18">
        <v>676940.06</v>
      </c>
      <c r="H10" s="19">
        <f>F10-G10</f>
        <v>110775.44999999995</v>
      </c>
      <c r="K10" s="11" t="s">
        <v>33</v>
      </c>
      <c r="L10" s="18">
        <v>595467.6</v>
      </c>
      <c r="M10" s="18">
        <v>736451.54</v>
      </c>
      <c r="N10" s="19">
        <f>L10-M10</f>
        <v>-140983.94000000006</v>
      </c>
    </row>
    <row r="11" spans="2:14" ht="15" thickBot="1">
      <c r="B11" s="7" t="s">
        <v>120</v>
      </c>
      <c r="C11" s="7">
        <v>17491.371573132295</v>
      </c>
      <c r="E11" s="11" t="s">
        <v>94</v>
      </c>
      <c r="F11" s="18">
        <v>813316.71</v>
      </c>
      <c r="G11" s="18">
        <v>714345.17</v>
      </c>
      <c r="H11" s="19">
        <f>F11-G11</f>
        <v>98971.539999999921</v>
      </c>
      <c r="K11" s="11" t="s">
        <v>44</v>
      </c>
      <c r="L11" s="18">
        <v>627171.9</v>
      </c>
      <c r="M11" s="18">
        <v>749339.69</v>
      </c>
      <c r="N11" s="19">
        <f>L11-M11</f>
        <v>-122167.78999999992</v>
      </c>
    </row>
    <row r="12" spans="2:14">
      <c r="E12" s="11" t="s">
        <v>42</v>
      </c>
      <c r="F12" s="18">
        <v>727241.86</v>
      </c>
      <c r="G12" s="18">
        <v>637964.61</v>
      </c>
      <c r="H12" s="19">
        <f>F12-G12</f>
        <v>89277.25</v>
      </c>
      <c r="K12" s="11" t="s">
        <v>30</v>
      </c>
      <c r="L12" s="18">
        <v>641865.03</v>
      </c>
      <c r="M12" s="18">
        <v>760876.85</v>
      </c>
      <c r="N12" s="19">
        <f>L12-M12</f>
        <v>-119011.81999999995</v>
      </c>
    </row>
    <row r="13" spans="2:14">
      <c r="B13" s="4" t="s">
        <v>145</v>
      </c>
      <c r="C13" t="s">
        <v>146</v>
      </c>
      <c r="K13" s="11" t="s">
        <v>98</v>
      </c>
      <c r="L13" s="18">
        <v>538376</v>
      </c>
      <c r="M13" s="18">
        <v>649612.36</v>
      </c>
      <c r="N13" s="19">
        <f>L13-M13</f>
        <v>-111236.35999999999</v>
      </c>
    </row>
    <row r="14" spans="2:14">
      <c r="B14" s="4">
        <v>707493.48910000001</v>
      </c>
      <c r="C14">
        <f>658832.62-B14</f>
        <v>-48660.869100000011</v>
      </c>
    </row>
  </sheetData>
  <mergeCells count="2">
    <mergeCell ref="E5:H5"/>
    <mergeCell ref="K6:N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DD48-C8CF-4ECB-98A7-7D3B94A3A58B}">
  <dimension ref="A4:I13"/>
  <sheetViews>
    <sheetView zoomScale="85" workbookViewId="0">
      <selection activeCell="F15" sqref="F15"/>
    </sheetView>
  </sheetViews>
  <sheetFormatPr defaultRowHeight="14.25"/>
  <cols>
    <col min="2" max="2" width="18.125" bestFit="1" customWidth="1"/>
    <col min="3" max="3" width="20.25" bestFit="1" customWidth="1"/>
    <col min="4" max="4" width="55.125" bestFit="1" customWidth="1"/>
    <col min="5" max="5" width="13" bestFit="1" customWidth="1"/>
    <col min="6" max="6" width="43.5" bestFit="1" customWidth="1"/>
    <col min="7" max="7" width="82.125" bestFit="1" customWidth="1"/>
    <col min="8" max="8" width="59.5" bestFit="1" customWidth="1"/>
  </cols>
  <sheetData>
    <row r="4" spans="1:9" ht="15">
      <c r="B4" s="12"/>
      <c r="C4" s="10" t="s">
        <v>147</v>
      </c>
      <c r="D4" s="10" t="s">
        <v>159</v>
      </c>
      <c r="E4" s="10" t="s">
        <v>160</v>
      </c>
      <c r="F4" s="10" t="s">
        <v>148</v>
      </c>
      <c r="G4" s="10" t="s">
        <v>149</v>
      </c>
      <c r="H4" s="10" t="s">
        <v>150</v>
      </c>
      <c r="I4" s="1"/>
    </row>
    <row r="5" spans="1:9" ht="15">
      <c r="B5" s="12"/>
      <c r="C5" s="11" t="s">
        <v>151</v>
      </c>
      <c r="D5" s="11" t="s">
        <v>170</v>
      </c>
      <c r="E5" s="11">
        <v>0.16700000000000001</v>
      </c>
      <c r="F5" s="11" t="s">
        <v>162</v>
      </c>
      <c r="G5" s="11" t="s">
        <v>169</v>
      </c>
      <c r="H5" s="11" t="s">
        <v>164</v>
      </c>
      <c r="I5" s="1"/>
    </row>
    <row r="6" spans="1:9">
      <c r="B6" s="13"/>
      <c r="C6" s="11" t="s">
        <v>152</v>
      </c>
      <c r="D6" s="11" t="s">
        <v>171</v>
      </c>
      <c r="E6" s="11">
        <v>0.73599999999999999</v>
      </c>
      <c r="F6" s="11" t="s">
        <v>163</v>
      </c>
      <c r="G6" s="11" t="s">
        <v>168</v>
      </c>
      <c r="H6" s="11" t="s">
        <v>165</v>
      </c>
      <c r="I6" s="1"/>
    </row>
    <row r="7" spans="1:9" ht="28.5">
      <c r="A7" s="1"/>
      <c r="B7" s="13"/>
      <c r="C7" s="11" t="s">
        <v>153</v>
      </c>
      <c r="D7" s="11" t="s">
        <v>172</v>
      </c>
      <c r="E7" s="11">
        <v>0.81100000000000005</v>
      </c>
      <c r="F7" s="11" t="s">
        <v>161</v>
      </c>
      <c r="G7" s="11" t="s">
        <v>167</v>
      </c>
      <c r="H7" s="11" t="s">
        <v>166</v>
      </c>
      <c r="I7" s="1"/>
    </row>
    <row r="8" spans="1:9">
      <c r="A8" s="1"/>
      <c r="B8" s="13"/>
      <c r="C8" s="13"/>
      <c r="D8" s="13"/>
      <c r="E8" s="13"/>
      <c r="F8" s="13"/>
      <c r="G8" s="13"/>
      <c r="H8" s="13"/>
      <c r="I8" s="1"/>
    </row>
    <row r="9" spans="1:9">
      <c r="A9" s="1"/>
      <c r="B9" s="13"/>
      <c r="C9" s="13"/>
      <c r="D9" s="13"/>
      <c r="E9" s="13"/>
      <c r="F9" s="13"/>
      <c r="G9" s="13"/>
      <c r="H9" s="1"/>
      <c r="I9" s="1"/>
    </row>
    <row r="10" spans="1:9">
      <c r="A10" s="1"/>
      <c r="B10" s="13"/>
      <c r="C10" s="13"/>
      <c r="D10" s="13"/>
      <c r="E10" s="13"/>
      <c r="F10" s="13"/>
      <c r="G10" s="13"/>
      <c r="H10" s="1"/>
      <c r="I10" s="1"/>
    </row>
    <row r="11" spans="1:9">
      <c r="B11" s="1"/>
      <c r="C11" s="1"/>
      <c r="D11" s="1"/>
      <c r="E11" s="1"/>
      <c r="F11" s="1"/>
      <c r="G11" s="1"/>
      <c r="H11" s="1"/>
      <c r="I11" s="1"/>
    </row>
    <row r="12" spans="1:9">
      <c r="B12" s="1"/>
      <c r="C12" s="1"/>
      <c r="D12" s="1"/>
      <c r="E12" s="1"/>
      <c r="F12" s="1"/>
      <c r="G12" s="1"/>
      <c r="H12" s="1"/>
      <c r="I12" s="1"/>
    </row>
    <row r="13" spans="1:9">
      <c r="B13" s="1"/>
      <c r="C13" s="1"/>
      <c r="D13" s="1"/>
      <c r="E13" s="1"/>
      <c r="F13" s="1"/>
      <c r="G1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2F84-DCFF-49E3-A0A1-C99254D9D2C4}">
  <dimension ref="A1:C321"/>
  <sheetViews>
    <sheetView workbookViewId="0">
      <selection activeCell="F9" sqref="F9"/>
    </sheetView>
  </sheetViews>
  <sheetFormatPr defaultRowHeight="14.25"/>
  <cols>
    <col min="1" max="1" width="19" style="15" customWidth="1"/>
    <col min="2" max="2" width="17.125" style="15" customWidth="1"/>
    <col min="3" max="3" width="17.625" style="15" customWidth="1"/>
    <col min="4" max="4" width="17.625" customWidth="1"/>
  </cols>
  <sheetData>
    <row r="1" spans="1:3" ht="15">
      <c r="A1" s="2" t="s">
        <v>156</v>
      </c>
      <c r="B1" s="2" t="s">
        <v>157</v>
      </c>
      <c r="C1" s="2" t="s">
        <v>158</v>
      </c>
    </row>
    <row r="2" spans="1:3">
      <c r="A2" s="15">
        <v>0</v>
      </c>
      <c r="B2" s="15">
        <v>0</v>
      </c>
      <c r="C2" s="15">
        <v>0</v>
      </c>
    </row>
    <row r="3" spans="1:3">
      <c r="A3" s="15">
        <v>0</v>
      </c>
      <c r="B3" s="15">
        <v>0</v>
      </c>
      <c r="C3" s="15">
        <v>0</v>
      </c>
    </row>
    <row r="4" spans="1:3">
      <c r="A4" s="15">
        <v>0</v>
      </c>
      <c r="B4" s="15">
        <v>0</v>
      </c>
      <c r="C4" s="15">
        <v>0</v>
      </c>
    </row>
    <row r="5" spans="1:3">
      <c r="A5" s="15">
        <v>0</v>
      </c>
      <c r="B5" s="15">
        <v>0</v>
      </c>
      <c r="C5" s="15">
        <v>0</v>
      </c>
    </row>
    <row r="6" spans="1:3">
      <c r="A6" s="15">
        <v>0</v>
      </c>
      <c r="B6" s="15">
        <v>0</v>
      </c>
      <c r="C6" s="15">
        <v>0</v>
      </c>
    </row>
    <row r="7" spans="1:3">
      <c r="A7" s="15">
        <v>0</v>
      </c>
      <c r="B7" s="15">
        <v>0</v>
      </c>
      <c r="C7" s="15">
        <v>0</v>
      </c>
    </row>
    <row r="8" spans="1:3">
      <c r="A8" s="15">
        <v>0</v>
      </c>
      <c r="B8" s="15">
        <v>0</v>
      </c>
      <c r="C8" s="15">
        <v>0</v>
      </c>
    </row>
    <row r="9" spans="1:3">
      <c r="A9" s="15">
        <v>0</v>
      </c>
      <c r="B9" s="15">
        <v>0</v>
      </c>
      <c r="C9" s="15">
        <v>0</v>
      </c>
    </row>
    <row r="10" spans="1:3">
      <c r="A10" s="15">
        <v>1</v>
      </c>
      <c r="B10" s="15">
        <v>0</v>
      </c>
      <c r="C10" s="15">
        <v>0</v>
      </c>
    </row>
    <row r="11" spans="1:3">
      <c r="A11" s="15">
        <v>1</v>
      </c>
      <c r="B11" s="15">
        <v>0</v>
      </c>
      <c r="C11" s="15">
        <v>0</v>
      </c>
    </row>
    <row r="12" spans="1:3">
      <c r="A12" s="15">
        <v>1</v>
      </c>
      <c r="B12" s="15">
        <v>0</v>
      </c>
      <c r="C12" s="15">
        <v>0</v>
      </c>
    </row>
    <row r="13" spans="1:3">
      <c r="A13" s="15">
        <v>1</v>
      </c>
      <c r="B13" s="15">
        <v>0</v>
      </c>
      <c r="C13" s="15">
        <v>0</v>
      </c>
    </row>
    <row r="14" spans="1:3">
      <c r="A14" s="15">
        <v>0</v>
      </c>
      <c r="B14" s="15">
        <v>0</v>
      </c>
      <c r="C14" s="15">
        <v>0</v>
      </c>
    </row>
    <row r="15" spans="1:3">
      <c r="A15" s="15">
        <v>0</v>
      </c>
      <c r="B15" s="15">
        <v>0</v>
      </c>
      <c r="C15" s="15">
        <v>0</v>
      </c>
    </row>
    <row r="16" spans="1:3">
      <c r="A16" s="15">
        <v>0</v>
      </c>
      <c r="B16" s="15">
        <v>0</v>
      </c>
      <c r="C16" s="15">
        <v>0</v>
      </c>
    </row>
    <row r="17" spans="1:3">
      <c r="A17" s="15">
        <v>0</v>
      </c>
      <c r="B17" s="15">
        <v>0</v>
      </c>
      <c r="C17" s="15">
        <v>0</v>
      </c>
    </row>
    <row r="18" spans="1:3">
      <c r="A18" s="15">
        <v>0</v>
      </c>
      <c r="B18" s="15">
        <v>1</v>
      </c>
      <c r="C18" s="15">
        <v>0</v>
      </c>
    </row>
    <row r="19" spans="1:3">
      <c r="A19" s="15">
        <v>0</v>
      </c>
      <c r="B19" s="15">
        <v>1</v>
      </c>
      <c r="C19" s="15">
        <v>0</v>
      </c>
    </row>
    <row r="20" spans="1:3">
      <c r="A20" s="15">
        <v>0</v>
      </c>
      <c r="B20" s="15">
        <v>1</v>
      </c>
      <c r="C20" s="15">
        <v>0</v>
      </c>
    </row>
    <row r="21" spans="1:3">
      <c r="A21" s="15">
        <v>0</v>
      </c>
      <c r="B21" s="15">
        <v>1</v>
      </c>
      <c r="C21" s="15">
        <v>0</v>
      </c>
    </row>
    <row r="22" spans="1:3">
      <c r="A22" s="15">
        <v>1</v>
      </c>
      <c r="B22" s="15">
        <v>0</v>
      </c>
      <c r="C22" s="15">
        <v>0</v>
      </c>
    </row>
    <row r="23" spans="1:3">
      <c r="A23" s="15">
        <v>1</v>
      </c>
      <c r="B23" s="15">
        <v>0</v>
      </c>
      <c r="C23" s="15">
        <v>0</v>
      </c>
    </row>
    <row r="24" spans="1:3">
      <c r="A24" s="15">
        <v>1</v>
      </c>
      <c r="B24" s="15">
        <v>0</v>
      </c>
      <c r="C24" s="15">
        <v>0</v>
      </c>
    </row>
    <row r="25" spans="1:3">
      <c r="A25" s="15">
        <v>1</v>
      </c>
      <c r="B25" s="15">
        <v>0</v>
      </c>
      <c r="C25" s="15">
        <v>0</v>
      </c>
    </row>
    <row r="26" spans="1:3">
      <c r="A26" s="15">
        <v>0</v>
      </c>
      <c r="B26" s="15">
        <v>0</v>
      </c>
      <c r="C26" s="15">
        <v>1</v>
      </c>
    </row>
    <row r="27" spans="1:3">
      <c r="A27" s="15">
        <v>0</v>
      </c>
      <c r="B27" s="15">
        <v>0</v>
      </c>
      <c r="C27" s="15">
        <v>1</v>
      </c>
    </row>
    <row r="28" spans="1:3">
      <c r="A28" s="15">
        <v>0</v>
      </c>
      <c r="B28" s="15">
        <v>0</v>
      </c>
      <c r="C28" s="15">
        <v>1</v>
      </c>
    </row>
    <row r="29" spans="1:3">
      <c r="A29" s="15">
        <v>0</v>
      </c>
      <c r="B29" s="15">
        <v>0</v>
      </c>
      <c r="C29" s="15">
        <v>1</v>
      </c>
    </row>
    <row r="30" spans="1:3">
      <c r="A30" s="15">
        <v>0</v>
      </c>
      <c r="B30" s="15">
        <v>0</v>
      </c>
      <c r="C30" s="15">
        <v>0</v>
      </c>
    </row>
    <row r="31" spans="1:3">
      <c r="A31" s="15">
        <v>0</v>
      </c>
      <c r="B31" s="15">
        <v>0</v>
      </c>
      <c r="C31" s="15">
        <v>0</v>
      </c>
    </row>
    <row r="32" spans="1:3">
      <c r="A32" s="15">
        <v>0</v>
      </c>
      <c r="B32" s="15">
        <v>0</v>
      </c>
      <c r="C32" s="15">
        <v>0</v>
      </c>
    </row>
    <row r="33" spans="1:3">
      <c r="A33" s="15">
        <v>0</v>
      </c>
      <c r="B33" s="15">
        <v>0</v>
      </c>
      <c r="C33" s="15">
        <v>0</v>
      </c>
    </row>
    <row r="34" spans="1:3">
      <c r="A34" s="15">
        <v>1</v>
      </c>
      <c r="B34" s="15">
        <v>0</v>
      </c>
      <c r="C34" s="15">
        <v>0</v>
      </c>
    </row>
    <row r="35" spans="1:3">
      <c r="A35" s="15">
        <v>1</v>
      </c>
      <c r="B35" s="15">
        <v>0</v>
      </c>
      <c r="C35" s="15">
        <v>0</v>
      </c>
    </row>
    <row r="36" spans="1:3">
      <c r="A36" s="15">
        <v>1</v>
      </c>
      <c r="B36" s="15">
        <v>0</v>
      </c>
      <c r="C36" s="15">
        <v>0</v>
      </c>
    </row>
    <row r="37" spans="1:3">
      <c r="A37" s="15">
        <v>1</v>
      </c>
      <c r="B37" s="15">
        <v>0</v>
      </c>
      <c r="C37" s="15">
        <v>0</v>
      </c>
    </row>
    <row r="38" spans="1:3">
      <c r="A38" s="15">
        <v>1</v>
      </c>
      <c r="B38" s="15">
        <v>0</v>
      </c>
      <c r="C38" s="15">
        <v>0</v>
      </c>
    </row>
    <row r="39" spans="1:3">
      <c r="A39" s="15">
        <v>1</v>
      </c>
      <c r="B39" s="15">
        <v>0</v>
      </c>
      <c r="C39" s="15">
        <v>0</v>
      </c>
    </row>
    <row r="40" spans="1:3">
      <c r="A40" s="15">
        <v>1</v>
      </c>
      <c r="B40" s="15">
        <v>0</v>
      </c>
      <c r="C40" s="15">
        <v>0</v>
      </c>
    </row>
    <row r="41" spans="1:3">
      <c r="A41" s="15">
        <v>1</v>
      </c>
      <c r="B41" s="15">
        <v>0</v>
      </c>
      <c r="C41" s="15">
        <v>0</v>
      </c>
    </row>
    <row r="42" spans="1:3">
      <c r="A42" s="15">
        <v>0</v>
      </c>
      <c r="B42" s="15">
        <v>0</v>
      </c>
      <c r="C42" s="15">
        <v>0</v>
      </c>
    </row>
    <row r="43" spans="1:3">
      <c r="A43" s="15">
        <v>0</v>
      </c>
      <c r="B43" s="15">
        <v>0</v>
      </c>
      <c r="C43" s="15">
        <v>0</v>
      </c>
    </row>
    <row r="44" spans="1:3">
      <c r="A44" s="15">
        <v>0</v>
      </c>
      <c r="B44" s="15">
        <v>0</v>
      </c>
      <c r="C44" s="15">
        <v>0</v>
      </c>
    </row>
    <row r="45" spans="1:3">
      <c r="A45" s="15">
        <v>0</v>
      </c>
      <c r="B45" s="15">
        <v>0</v>
      </c>
      <c r="C45" s="15">
        <v>0</v>
      </c>
    </row>
    <row r="46" spans="1:3">
      <c r="A46" s="15">
        <v>0</v>
      </c>
      <c r="B46" s="15">
        <v>0</v>
      </c>
      <c r="C46" s="15">
        <v>1</v>
      </c>
    </row>
    <row r="47" spans="1:3">
      <c r="A47" s="15">
        <v>0</v>
      </c>
      <c r="B47" s="15">
        <v>0</v>
      </c>
      <c r="C47" s="15">
        <v>1</v>
      </c>
    </row>
    <row r="48" spans="1:3">
      <c r="A48" s="15">
        <v>0</v>
      </c>
      <c r="B48" s="15">
        <v>0</v>
      </c>
      <c r="C48" s="15">
        <v>1</v>
      </c>
    </row>
    <row r="49" spans="1:3">
      <c r="A49" s="15">
        <v>0</v>
      </c>
      <c r="B49" s="15">
        <v>0</v>
      </c>
      <c r="C49" s="15">
        <v>1</v>
      </c>
    </row>
    <row r="50" spans="1:3">
      <c r="A50" s="15">
        <v>1</v>
      </c>
      <c r="B50" s="15">
        <v>0</v>
      </c>
      <c r="C50" s="15">
        <v>0</v>
      </c>
    </row>
    <row r="51" spans="1:3">
      <c r="A51" s="15">
        <v>1</v>
      </c>
      <c r="B51" s="15">
        <v>0</v>
      </c>
      <c r="C51" s="15">
        <v>0</v>
      </c>
    </row>
    <row r="52" spans="1:3">
      <c r="A52" s="15">
        <v>1</v>
      </c>
      <c r="B52" s="15">
        <v>0</v>
      </c>
      <c r="C52" s="15">
        <v>0</v>
      </c>
    </row>
    <row r="53" spans="1:3">
      <c r="A53" s="15">
        <v>1</v>
      </c>
      <c r="B53" s="15">
        <v>0</v>
      </c>
      <c r="C53" s="15">
        <v>0</v>
      </c>
    </row>
    <row r="54" spans="1:3">
      <c r="A54" s="15">
        <v>0</v>
      </c>
      <c r="B54" s="15">
        <v>0</v>
      </c>
      <c r="C54" s="15">
        <v>1</v>
      </c>
    </row>
    <row r="55" spans="1:3">
      <c r="A55" s="15">
        <v>0</v>
      </c>
      <c r="B55" s="15">
        <v>0</v>
      </c>
      <c r="C55" s="15">
        <v>1</v>
      </c>
    </row>
    <row r="56" spans="1:3">
      <c r="A56" s="15">
        <v>0</v>
      </c>
      <c r="B56" s="15">
        <v>0</v>
      </c>
      <c r="C56" s="15">
        <v>1</v>
      </c>
    </row>
    <row r="57" spans="1:3">
      <c r="A57" s="15">
        <v>0</v>
      </c>
      <c r="B57" s="15">
        <v>0</v>
      </c>
      <c r="C57" s="15">
        <v>1</v>
      </c>
    </row>
    <row r="58" spans="1:3">
      <c r="A58" s="15">
        <v>0</v>
      </c>
      <c r="B58" s="15">
        <v>0</v>
      </c>
      <c r="C58" s="15">
        <v>0</v>
      </c>
    </row>
    <row r="59" spans="1:3">
      <c r="A59" s="15">
        <v>0</v>
      </c>
      <c r="B59" s="15">
        <v>0</v>
      </c>
      <c r="C59" s="15">
        <v>0</v>
      </c>
    </row>
    <row r="60" spans="1:3">
      <c r="A60" s="15">
        <v>0</v>
      </c>
      <c r="B60" s="15">
        <v>0</v>
      </c>
      <c r="C60" s="15">
        <v>0</v>
      </c>
    </row>
    <row r="61" spans="1:3">
      <c r="A61" s="15">
        <v>0</v>
      </c>
      <c r="B61" s="15">
        <v>0</v>
      </c>
      <c r="C61" s="15">
        <v>0</v>
      </c>
    </row>
    <row r="62" spans="1:3">
      <c r="A62" s="15">
        <v>0</v>
      </c>
      <c r="B62" s="15">
        <v>1</v>
      </c>
      <c r="C62" s="15">
        <v>0</v>
      </c>
    </row>
    <row r="63" spans="1:3">
      <c r="A63" s="15">
        <v>0</v>
      </c>
      <c r="B63" s="15">
        <v>1</v>
      </c>
      <c r="C63" s="15">
        <v>0</v>
      </c>
    </row>
    <row r="64" spans="1:3">
      <c r="A64" s="15">
        <v>0</v>
      </c>
      <c r="B64" s="15">
        <v>1</v>
      </c>
      <c r="C64" s="15">
        <v>0</v>
      </c>
    </row>
    <row r="65" spans="1:3">
      <c r="A65" s="15">
        <v>0</v>
      </c>
      <c r="B65" s="15">
        <v>1</v>
      </c>
      <c r="C65" s="15">
        <v>0</v>
      </c>
    </row>
    <row r="66" spans="1:3">
      <c r="A66" s="15">
        <v>0</v>
      </c>
      <c r="B66" s="15">
        <v>0</v>
      </c>
      <c r="C66" s="15">
        <v>1</v>
      </c>
    </row>
    <row r="67" spans="1:3">
      <c r="A67" s="15">
        <v>0</v>
      </c>
      <c r="B67" s="15">
        <v>0</v>
      </c>
      <c r="C67" s="15">
        <v>1</v>
      </c>
    </row>
    <row r="68" spans="1:3">
      <c r="A68" s="15">
        <v>0</v>
      </c>
      <c r="B68" s="15">
        <v>0</v>
      </c>
      <c r="C68" s="15">
        <v>1</v>
      </c>
    </row>
    <row r="69" spans="1:3">
      <c r="A69" s="15">
        <v>0</v>
      </c>
      <c r="B69" s="15">
        <v>0</v>
      </c>
      <c r="C69" s="15">
        <v>1</v>
      </c>
    </row>
    <row r="70" spans="1:3">
      <c r="A70" s="15">
        <v>0</v>
      </c>
      <c r="B70" s="15">
        <v>0</v>
      </c>
      <c r="C70" s="15">
        <v>0</v>
      </c>
    </row>
    <row r="71" spans="1:3">
      <c r="A71" s="15">
        <v>0</v>
      </c>
      <c r="B71" s="15">
        <v>0</v>
      </c>
      <c r="C71" s="15">
        <v>0</v>
      </c>
    </row>
    <row r="72" spans="1:3">
      <c r="A72" s="15">
        <v>0</v>
      </c>
      <c r="B72" s="15">
        <v>0</v>
      </c>
      <c r="C72" s="15">
        <v>0</v>
      </c>
    </row>
    <row r="73" spans="1:3">
      <c r="A73" s="15">
        <v>0</v>
      </c>
      <c r="B73" s="15">
        <v>0</v>
      </c>
      <c r="C73" s="15">
        <v>0</v>
      </c>
    </row>
    <row r="74" spans="1:3">
      <c r="A74" s="15">
        <v>0</v>
      </c>
      <c r="B74" s="15">
        <v>0</v>
      </c>
      <c r="C74" s="15">
        <v>0</v>
      </c>
    </row>
    <row r="75" spans="1:3">
      <c r="A75" s="15">
        <v>0</v>
      </c>
      <c r="B75" s="15">
        <v>0</v>
      </c>
      <c r="C75" s="15">
        <v>0</v>
      </c>
    </row>
    <row r="76" spans="1:3">
      <c r="A76" s="15">
        <v>0</v>
      </c>
      <c r="B76" s="15">
        <v>0</v>
      </c>
      <c r="C76" s="15">
        <v>0</v>
      </c>
    </row>
    <row r="77" spans="1:3">
      <c r="A77" s="15">
        <v>0</v>
      </c>
      <c r="B77" s="15">
        <v>0</v>
      </c>
      <c r="C77" s="15">
        <v>0</v>
      </c>
    </row>
    <row r="78" spans="1:3">
      <c r="A78" s="15">
        <v>0</v>
      </c>
      <c r="B78" s="15">
        <v>1</v>
      </c>
      <c r="C78" s="15">
        <v>0</v>
      </c>
    </row>
    <row r="79" spans="1:3">
      <c r="A79" s="15">
        <v>0</v>
      </c>
      <c r="B79" s="15">
        <v>1</v>
      </c>
      <c r="C79" s="15">
        <v>0</v>
      </c>
    </row>
    <row r="80" spans="1:3">
      <c r="A80" s="15">
        <v>0</v>
      </c>
      <c r="B80" s="15">
        <v>1</v>
      </c>
      <c r="C80" s="15">
        <v>0</v>
      </c>
    </row>
    <row r="81" spans="1:3">
      <c r="A81" s="15">
        <v>0</v>
      </c>
      <c r="B81" s="15">
        <v>1</v>
      </c>
      <c r="C81" s="15">
        <v>0</v>
      </c>
    </row>
    <row r="82" spans="1:3">
      <c r="A82" s="15">
        <v>0</v>
      </c>
      <c r="B82" s="15">
        <v>0</v>
      </c>
      <c r="C82" s="15">
        <v>1</v>
      </c>
    </row>
    <row r="83" spans="1:3">
      <c r="A83" s="15">
        <v>0</v>
      </c>
      <c r="B83" s="15">
        <v>0</v>
      </c>
      <c r="C83" s="15">
        <v>1</v>
      </c>
    </row>
    <row r="84" spans="1:3">
      <c r="A84" s="15">
        <v>0</v>
      </c>
      <c r="B84" s="15">
        <v>0</v>
      </c>
      <c r="C84" s="15">
        <v>1</v>
      </c>
    </row>
    <row r="85" spans="1:3">
      <c r="A85" s="15">
        <v>0</v>
      </c>
      <c r="B85" s="15">
        <v>0</v>
      </c>
      <c r="C85" s="15">
        <v>1</v>
      </c>
    </row>
    <row r="86" spans="1:3">
      <c r="A86" s="15">
        <v>0</v>
      </c>
      <c r="B86" s="15">
        <v>0</v>
      </c>
      <c r="C86" s="15">
        <v>1</v>
      </c>
    </row>
    <row r="87" spans="1:3">
      <c r="A87" s="15">
        <v>0</v>
      </c>
      <c r="B87" s="15">
        <v>0</v>
      </c>
      <c r="C87" s="15">
        <v>1</v>
      </c>
    </row>
    <row r="88" spans="1:3">
      <c r="A88" s="15">
        <v>0</v>
      </c>
      <c r="B88" s="15">
        <v>0</v>
      </c>
      <c r="C88" s="15">
        <v>1</v>
      </c>
    </row>
    <row r="89" spans="1:3">
      <c r="A89" s="15">
        <v>0</v>
      </c>
      <c r="B89" s="15">
        <v>0</v>
      </c>
      <c r="C89" s="15">
        <v>1</v>
      </c>
    </row>
    <row r="90" spans="1:3">
      <c r="A90" s="15">
        <v>0</v>
      </c>
      <c r="B90" s="15">
        <v>1</v>
      </c>
      <c r="C90" s="15">
        <v>0</v>
      </c>
    </row>
    <row r="91" spans="1:3">
      <c r="A91" s="15">
        <v>0</v>
      </c>
      <c r="B91" s="15">
        <v>1</v>
      </c>
      <c r="C91" s="15">
        <v>0</v>
      </c>
    </row>
    <row r="92" spans="1:3">
      <c r="A92" s="15">
        <v>0</v>
      </c>
      <c r="B92" s="15">
        <v>1</v>
      </c>
      <c r="C92" s="15">
        <v>0</v>
      </c>
    </row>
    <row r="93" spans="1:3">
      <c r="A93" s="15">
        <v>0</v>
      </c>
      <c r="B93" s="15">
        <v>1</v>
      </c>
      <c r="C93" s="15">
        <v>0</v>
      </c>
    </row>
    <row r="94" spans="1:3">
      <c r="A94" s="15">
        <v>0</v>
      </c>
      <c r="B94" s="15">
        <v>0</v>
      </c>
      <c r="C94" s="15">
        <v>1</v>
      </c>
    </row>
    <row r="95" spans="1:3">
      <c r="A95" s="15">
        <v>0</v>
      </c>
      <c r="B95" s="15">
        <v>0</v>
      </c>
      <c r="C95" s="15">
        <v>1</v>
      </c>
    </row>
    <row r="96" spans="1:3">
      <c r="A96" s="15">
        <v>0</v>
      </c>
      <c r="B96" s="15">
        <v>0</v>
      </c>
      <c r="C96" s="15">
        <v>1</v>
      </c>
    </row>
    <row r="97" spans="1:3">
      <c r="A97" s="15">
        <v>0</v>
      </c>
      <c r="B97" s="15">
        <v>0</v>
      </c>
      <c r="C97" s="15">
        <v>1</v>
      </c>
    </row>
    <row r="98" spans="1:3">
      <c r="A98" s="15">
        <v>0</v>
      </c>
      <c r="B98" s="15">
        <v>0</v>
      </c>
      <c r="C98" s="15">
        <v>1</v>
      </c>
    </row>
    <row r="99" spans="1:3">
      <c r="A99" s="15">
        <v>0</v>
      </c>
      <c r="B99" s="15">
        <v>0</v>
      </c>
      <c r="C99" s="15">
        <v>1</v>
      </c>
    </row>
    <row r="100" spans="1:3">
      <c r="A100" s="15">
        <v>0</v>
      </c>
      <c r="B100" s="15">
        <v>0</v>
      </c>
      <c r="C100" s="15">
        <v>1</v>
      </c>
    </row>
    <row r="101" spans="1:3">
      <c r="A101" s="15">
        <v>0</v>
      </c>
      <c r="B101" s="15">
        <v>0</v>
      </c>
      <c r="C101" s="15">
        <v>1</v>
      </c>
    </row>
    <row r="102" spans="1:3">
      <c r="A102" s="15">
        <v>0</v>
      </c>
      <c r="B102" s="15">
        <v>0</v>
      </c>
      <c r="C102" s="15">
        <v>0</v>
      </c>
    </row>
    <row r="103" spans="1:3">
      <c r="A103" s="15">
        <v>0</v>
      </c>
      <c r="B103" s="15">
        <v>0</v>
      </c>
      <c r="C103" s="15">
        <v>0</v>
      </c>
    </row>
    <row r="104" spans="1:3">
      <c r="A104" s="15">
        <v>0</v>
      </c>
      <c r="B104" s="15">
        <v>0</v>
      </c>
      <c r="C104" s="15">
        <v>0</v>
      </c>
    </row>
    <row r="105" spans="1:3">
      <c r="A105" s="15">
        <v>0</v>
      </c>
      <c r="B105" s="15">
        <v>0</v>
      </c>
      <c r="C105" s="15">
        <v>0</v>
      </c>
    </row>
    <row r="106" spans="1:3">
      <c r="A106" s="15">
        <v>0</v>
      </c>
      <c r="B106" s="15">
        <v>0</v>
      </c>
      <c r="C106" s="15">
        <v>1</v>
      </c>
    </row>
    <row r="107" spans="1:3">
      <c r="A107" s="15">
        <v>0</v>
      </c>
      <c r="B107" s="15">
        <v>0</v>
      </c>
      <c r="C107" s="15">
        <v>1</v>
      </c>
    </row>
    <row r="108" spans="1:3">
      <c r="A108" s="15">
        <v>0</v>
      </c>
      <c r="B108" s="15">
        <v>0</v>
      </c>
      <c r="C108" s="15">
        <v>1</v>
      </c>
    </row>
    <row r="109" spans="1:3">
      <c r="A109" s="15">
        <v>0</v>
      </c>
      <c r="B109" s="15">
        <v>0</v>
      </c>
      <c r="C109" s="15">
        <v>1</v>
      </c>
    </row>
    <row r="110" spans="1:3">
      <c r="A110" s="15">
        <v>0</v>
      </c>
      <c r="B110" s="15">
        <v>0</v>
      </c>
      <c r="C110" s="15">
        <v>0</v>
      </c>
    </row>
    <row r="111" spans="1:3">
      <c r="A111" s="15">
        <v>0</v>
      </c>
      <c r="B111" s="15">
        <v>0</v>
      </c>
      <c r="C111" s="15">
        <v>0</v>
      </c>
    </row>
    <row r="112" spans="1:3">
      <c r="A112" s="15">
        <v>0</v>
      </c>
      <c r="B112" s="15">
        <v>0</v>
      </c>
      <c r="C112" s="15">
        <v>0</v>
      </c>
    </row>
    <row r="113" spans="1:3">
      <c r="A113" s="15">
        <v>0</v>
      </c>
      <c r="B113" s="15">
        <v>0</v>
      </c>
      <c r="C113" s="15">
        <v>0</v>
      </c>
    </row>
    <row r="114" spans="1:3">
      <c r="A114" s="15">
        <v>0</v>
      </c>
      <c r="B114" s="15">
        <v>0</v>
      </c>
      <c r="C114" s="15">
        <v>1</v>
      </c>
    </row>
    <row r="115" spans="1:3">
      <c r="A115" s="15">
        <v>0</v>
      </c>
      <c r="B115" s="15">
        <v>0</v>
      </c>
      <c r="C115" s="15">
        <v>1</v>
      </c>
    </row>
    <row r="116" spans="1:3">
      <c r="A116" s="15">
        <v>0</v>
      </c>
      <c r="B116" s="15">
        <v>0</v>
      </c>
      <c r="C116" s="15">
        <v>1</v>
      </c>
    </row>
    <row r="117" spans="1:3">
      <c r="A117" s="15">
        <v>0</v>
      </c>
      <c r="B117" s="15">
        <v>0</v>
      </c>
      <c r="C117" s="15">
        <v>1</v>
      </c>
    </row>
    <row r="118" spans="1:3">
      <c r="A118" s="15">
        <v>0</v>
      </c>
      <c r="B118" s="15">
        <v>0</v>
      </c>
      <c r="C118" s="15">
        <v>1</v>
      </c>
    </row>
    <row r="119" spans="1:3">
      <c r="A119" s="15">
        <v>0</v>
      </c>
      <c r="B119" s="15">
        <v>0</v>
      </c>
      <c r="C119" s="15">
        <v>1</v>
      </c>
    </row>
    <row r="120" spans="1:3">
      <c r="A120" s="15">
        <v>0</v>
      </c>
      <c r="B120" s="15">
        <v>0</v>
      </c>
      <c r="C120" s="15">
        <v>1</v>
      </c>
    </row>
    <row r="121" spans="1:3">
      <c r="A121" s="15">
        <v>0</v>
      </c>
      <c r="B121" s="15">
        <v>0</v>
      </c>
      <c r="C121" s="15">
        <v>1</v>
      </c>
    </row>
    <row r="122" spans="1:3">
      <c r="A122" s="15">
        <v>1</v>
      </c>
      <c r="B122" s="15">
        <v>0</v>
      </c>
      <c r="C122" s="15">
        <v>0</v>
      </c>
    </row>
    <row r="123" spans="1:3">
      <c r="A123" s="15">
        <v>1</v>
      </c>
      <c r="B123" s="15">
        <v>0</v>
      </c>
      <c r="C123" s="15">
        <v>0</v>
      </c>
    </row>
    <row r="124" spans="1:3">
      <c r="A124" s="15">
        <v>1</v>
      </c>
      <c r="B124" s="15">
        <v>0</v>
      </c>
      <c r="C124" s="15">
        <v>0</v>
      </c>
    </row>
    <row r="125" spans="1:3">
      <c r="A125" s="15">
        <v>1</v>
      </c>
      <c r="B125" s="15">
        <v>0</v>
      </c>
      <c r="C125" s="15">
        <v>0</v>
      </c>
    </row>
    <row r="126" spans="1:3">
      <c r="A126" s="15">
        <v>0</v>
      </c>
      <c r="B126" s="15">
        <v>1</v>
      </c>
      <c r="C126" s="15">
        <v>0</v>
      </c>
    </row>
    <row r="127" spans="1:3">
      <c r="A127" s="15">
        <v>0</v>
      </c>
      <c r="B127" s="15">
        <v>1</v>
      </c>
      <c r="C127" s="15">
        <v>0</v>
      </c>
    </row>
    <row r="128" spans="1:3">
      <c r="A128" s="15">
        <v>0</v>
      </c>
      <c r="B128" s="15">
        <v>1</v>
      </c>
      <c r="C128" s="15">
        <v>0</v>
      </c>
    </row>
    <row r="129" spans="1:3">
      <c r="A129" s="15">
        <v>0</v>
      </c>
      <c r="B129" s="15">
        <v>1</v>
      </c>
      <c r="C129" s="15">
        <v>0</v>
      </c>
    </row>
    <row r="130" spans="1:3">
      <c r="A130" s="15">
        <v>0</v>
      </c>
      <c r="B130" s="15">
        <v>0</v>
      </c>
      <c r="C130" s="15">
        <v>0</v>
      </c>
    </row>
    <row r="131" spans="1:3">
      <c r="A131" s="15">
        <v>0</v>
      </c>
      <c r="B131" s="15">
        <v>0</v>
      </c>
      <c r="C131" s="15">
        <v>0</v>
      </c>
    </row>
    <row r="132" spans="1:3">
      <c r="A132" s="15">
        <v>0</v>
      </c>
      <c r="B132" s="15">
        <v>0</v>
      </c>
      <c r="C132" s="15">
        <v>0</v>
      </c>
    </row>
    <row r="133" spans="1:3">
      <c r="A133" s="15">
        <v>0</v>
      </c>
      <c r="B133" s="15">
        <v>0</v>
      </c>
      <c r="C133" s="15">
        <v>0</v>
      </c>
    </row>
    <row r="134" spans="1:3">
      <c r="A134" s="15">
        <v>1</v>
      </c>
      <c r="B134" s="15">
        <v>0</v>
      </c>
      <c r="C134" s="15">
        <v>0</v>
      </c>
    </row>
    <row r="135" spans="1:3">
      <c r="A135" s="15">
        <v>1</v>
      </c>
      <c r="B135" s="15">
        <v>0</v>
      </c>
      <c r="C135" s="15">
        <v>0</v>
      </c>
    </row>
    <row r="136" spans="1:3">
      <c r="A136" s="15">
        <v>1</v>
      </c>
      <c r="B136" s="15">
        <v>0</v>
      </c>
      <c r="C136" s="15">
        <v>0</v>
      </c>
    </row>
    <row r="137" spans="1:3">
      <c r="A137" s="15">
        <v>1</v>
      </c>
      <c r="B137" s="15">
        <v>0</v>
      </c>
      <c r="C137" s="15">
        <v>0</v>
      </c>
    </row>
    <row r="138" spans="1:3">
      <c r="A138" s="15">
        <v>0</v>
      </c>
      <c r="B138" s="15">
        <v>1</v>
      </c>
      <c r="C138" s="15">
        <v>0</v>
      </c>
    </row>
    <row r="139" spans="1:3">
      <c r="A139" s="15">
        <v>0</v>
      </c>
      <c r="B139" s="15">
        <v>1</v>
      </c>
      <c r="C139" s="15">
        <v>0</v>
      </c>
    </row>
    <row r="140" spans="1:3">
      <c r="A140" s="15">
        <v>0</v>
      </c>
      <c r="B140" s="15">
        <v>1</v>
      </c>
      <c r="C140" s="15">
        <v>0</v>
      </c>
    </row>
    <row r="141" spans="1:3">
      <c r="A141" s="15">
        <v>0</v>
      </c>
      <c r="B141" s="15">
        <v>1</v>
      </c>
      <c r="C141" s="15">
        <v>0</v>
      </c>
    </row>
    <row r="142" spans="1:3">
      <c r="A142" s="15">
        <v>0</v>
      </c>
      <c r="B142" s="15">
        <v>0</v>
      </c>
      <c r="C142" s="15">
        <v>1</v>
      </c>
    </row>
    <row r="143" spans="1:3">
      <c r="A143" s="15">
        <v>0</v>
      </c>
      <c r="B143" s="15">
        <v>0</v>
      </c>
      <c r="C143" s="15">
        <v>1</v>
      </c>
    </row>
    <row r="144" spans="1:3">
      <c r="A144" s="15">
        <v>0</v>
      </c>
      <c r="B144" s="15">
        <v>0</v>
      </c>
      <c r="C144" s="15">
        <v>1</v>
      </c>
    </row>
    <row r="145" spans="1:3">
      <c r="A145" s="15">
        <v>0</v>
      </c>
      <c r="B145" s="15">
        <v>0</v>
      </c>
      <c r="C145" s="15">
        <v>1</v>
      </c>
    </row>
    <row r="146" spans="1:3">
      <c r="A146" s="15">
        <v>1</v>
      </c>
      <c r="B146" s="15">
        <v>0</v>
      </c>
      <c r="C146" s="15">
        <v>0</v>
      </c>
    </row>
    <row r="147" spans="1:3">
      <c r="A147" s="15">
        <v>1</v>
      </c>
      <c r="B147" s="15">
        <v>0</v>
      </c>
      <c r="C147" s="15">
        <v>0</v>
      </c>
    </row>
    <row r="148" spans="1:3">
      <c r="A148" s="15">
        <v>1</v>
      </c>
      <c r="B148" s="15">
        <v>0</v>
      </c>
      <c r="C148" s="15">
        <v>0</v>
      </c>
    </row>
    <row r="149" spans="1:3">
      <c r="A149" s="15">
        <v>1</v>
      </c>
      <c r="B149" s="15">
        <v>0</v>
      </c>
      <c r="C149" s="15">
        <v>0</v>
      </c>
    </row>
    <row r="150" spans="1:3">
      <c r="A150" s="15">
        <v>0</v>
      </c>
      <c r="B150" s="15">
        <v>1</v>
      </c>
      <c r="C150" s="15">
        <v>0</v>
      </c>
    </row>
    <row r="151" spans="1:3">
      <c r="A151" s="15">
        <v>0</v>
      </c>
      <c r="B151" s="15">
        <v>1</v>
      </c>
      <c r="C151" s="15">
        <v>0</v>
      </c>
    </row>
    <row r="152" spans="1:3">
      <c r="A152" s="15">
        <v>0</v>
      </c>
      <c r="B152" s="15">
        <v>1</v>
      </c>
      <c r="C152" s="15">
        <v>0</v>
      </c>
    </row>
    <row r="153" spans="1:3">
      <c r="A153" s="15">
        <v>0</v>
      </c>
      <c r="B153" s="15">
        <v>1</v>
      </c>
      <c r="C153" s="15">
        <v>0</v>
      </c>
    </row>
    <row r="154" spans="1:3">
      <c r="A154" s="15">
        <v>0</v>
      </c>
      <c r="B154" s="15">
        <v>0</v>
      </c>
      <c r="C154" s="15">
        <v>0</v>
      </c>
    </row>
    <row r="155" spans="1:3">
      <c r="A155" s="15">
        <v>0</v>
      </c>
      <c r="B155" s="15">
        <v>0</v>
      </c>
      <c r="C155" s="15">
        <v>0</v>
      </c>
    </row>
    <row r="156" spans="1:3">
      <c r="A156" s="15">
        <v>0</v>
      </c>
      <c r="B156" s="15">
        <v>0</v>
      </c>
      <c r="C156" s="15">
        <v>0</v>
      </c>
    </row>
    <row r="157" spans="1:3">
      <c r="A157" s="15">
        <v>0</v>
      </c>
      <c r="B157" s="15">
        <v>0</v>
      </c>
      <c r="C157" s="15">
        <v>0</v>
      </c>
    </row>
    <row r="158" spans="1:3">
      <c r="A158" s="15">
        <v>1</v>
      </c>
      <c r="B158" s="15">
        <v>0</v>
      </c>
      <c r="C158" s="15">
        <v>0</v>
      </c>
    </row>
    <row r="159" spans="1:3">
      <c r="A159" s="15">
        <v>1</v>
      </c>
      <c r="B159" s="15">
        <v>0</v>
      </c>
      <c r="C159" s="15">
        <v>0</v>
      </c>
    </row>
    <row r="160" spans="1:3">
      <c r="A160" s="15">
        <v>1</v>
      </c>
      <c r="B160" s="15">
        <v>0</v>
      </c>
      <c r="C160" s="15">
        <v>0</v>
      </c>
    </row>
    <row r="161" spans="1:3">
      <c r="A161" s="15">
        <v>1</v>
      </c>
      <c r="B161" s="15">
        <v>0</v>
      </c>
      <c r="C161" s="15">
        <v>0</v>
      </c>
    </row>
    <row r="162" spans="1:3">
      <c r="A162" s="15">
        <v>0</v>
      </c>
      <c r="B162" s="15">
        <v>1</v>
      </c>
      <c r="C162" s="15">
        <v>0</v>
      </c>
    </row>
    <row r="163" spans="1:3">
      <c r="A163" s="15">
        <v>0</v>
      </c>
      <c r="B163" s="15">
        <v>1</v>
      </c>
      <c r="C163" s="15">
        <v>0</v>
      </c>
    </row>
    <row r="164" spans="1:3">
      <c r="A164" s="15">
        <v>0</v>
      </c>
      <c r="B164" s="15">
        <v>1</v>
      </c>
      <c r="C164" s="15">
        <v>0</v>
      </c>
    </row>
    <row r="165" spans="1:3">
      <c r="A165" s="15">
        <v>0</v>
      </c>
      <c r="B165" s="15">
        <v>1</v>
      </c>
      <c r="C165" s="15">
        <v>0</v>
      </c>
    </row>
    <row r="166" spans="1:3">
      <c r="A166" s="15">
        <v>1</v>
      </c>
      <c r="B166" s="15">
        <v>0</v>
      </c>
      <c r="C166" s="15">
        <v>0</v>
      </c>
    </row>
    <row r="167" spans="1:3">
      <c r="A167" s="15">
        <v>1</v>
      </c>
      <c r="B167" s="15">
        <v>0</v>
      </c>
      <c r="C167" s="15">
        <v>0</v>
      </c>
    </row>
    <row r="168" spans="1:3">
      <c r="A168" s="15">
        <v>1</v>
      </c>
      <c r="B168" s="15">
        <v>0</v>
      </c>
      <c r="C168" s="15">
        <v>0</v>
      </c>
    </row>
    <row r="169" spans="1:3">
      <c r="A169" s="15">
        <v>1</v>
      </c>
      <c r="B169" s="15">
        <v>0</v>
      </c>
      <c r="C169" s="15">
        <v>0</v>
      </c>
    </row>
    <row r="170" spans="1:3">
      <c r="A170" s="15">
        <v>0</v>
      </c>
      <c r="B170" s="15">
        <v>0</v>
      </c>
      <c r="C170" s="15">
        <v>0</v>
      </c>
    </row>
    <row r="171" spans="1:3">
      <c r="A171" s="15">
        <v>0</v>
      </c>
      <c r="B171" s="15">
        <v>0</v>
      </c>
      <c r="C171" s="15">
        <v>0</v>
      </c>
    </row>
    <row r="172" spans="1:3">
      <c r="A172" s="15">
        <v>0</v>
      </c>
      <c r="B172" s="15">
        <v>0</v>
      </c>
      <c r="C172" s="15">
        <v>0</v>
      </c>
    </row>
    <row r="173" spans="1:3">
      <c r="A173" s="15">
        <v>0</v>
      </c>
      <c r="B173" s="15">
        <v>0</v>
      </c>
      <c r="C173" s="15">
        <v>0</v>
      </c>
    </row>
    <row r="174" spans="1:3">
      <c r="A174" s="15">
        <v>0</v>
      </c>
      <c r="B174" s="15">
        <v>0</v>
      </c>
      <c r="C174" s="15">
        <v>0</v>
      </c>
    </row>
    <row r="175" spans="1:3">
      <c r="A175" s="15">
        <v>0</v>
      </c>
      <c r="B175" s="15">
        <v>0</v>
      </c>
      <c r="C175" s="15">
        <v>0</v>
      </c>
    </row>
    <row r="176" spans="1:3">
      <c r="A176" s="15">
        <v>0</v>
      </c>
      <c r="B176" s="15">
        <v>0</v>
      </c>
      <c r="C176" s="15">
        <v>0</v>
      </c>
    </row>
    <row r="177" spans="1:3">
      <c r="A177" s="15">
        <v>0</v>
      </c>
      <c r="B177" s="15">
        <v>0</v>
      </c>
      <c r="C177" s="15">
        <v>0</v>
      </c>
    </row>
    <row r="178" spans="1:3">
      <c r="A178" s="15">
        <v>0</v>
      </c>
      <c r="B178" s="15">
        <v>0</v>
      </c>
      <c r="C178" s="15">
        <v>1</v>
      </c>
    </row>
    <row r="179" spans="1:3">
      <c r="A179" s="15">
        <v>0</v>
      </c>
      <c r="B179" s="15">
        <v>0</v>
      </c>
      <c r="C179" s="15">
        <v>1</v>
      </c>
    </row>
    <row r="180" spans="1:3">
      <c r="A180" s="15">
        <v>0</v>
      </c>
      <c r="B180" s="15">
        <v>0</v>
      </c>
      <c r="C180" s="15">
        <v>1</v>
      </c>
    </row>
    <row r="181" spans="1:3">
      <c r="A181" s="15">
        <v>0</v>
      </c>
      <c r="B181" s="15">
        <v>0</v>
      </c>
      <c r="C181" s="15">
        <v>1</v>
      </c>
    </row>
    <row r="182" spans="1:3">
      <c r="A182" s="15">
        <v>0</v>
      </c>
      <c r="B182" s="15">
        <v>0</v>
      </c>
      <c r="C182" s="15">
        <v>1</v>
      </c>
    </row>
    <row r="183" spans="1:3">
      <c r="A183" s="15">
        <v>0</v>
      </c>
      <c r="B183" s="15">
        <v>0</v>
      </c>
      <c r="C183" s="15">
        <v>1</v>
      </c>
    </row>
    <row r="184" spans="1:3">
      <c r="A184" s="15">
        <v>0</v>
      </c>
      <c r="B184" s="15">
        <v>0</v>
      </c>
      <c r="C184" s="15">
        <v>1</v>
      </c>
    </row>
    <row r="185" spans="1:3">
      <c r="A185" s="15">
        <v>0</v>
      </c>
      <c r="B185" s="15">
        <v>0</v>
      </c>
      <c r="C185" s="15">
        <v>1</v>
      </c>
    </row>
    <row r="186" spans="1:3">
      <c r="A186" s="15">
        <v>1</v>
      </c>
      <c r="B186" s="15">
        <v>0</v>
      </c>
      <c r="C186" s="15">
        <v>0</v>
      </c>
    </row>
    <row r="187" spans="1:3">
      <c r="A187" s="15">
        <v>1</v>
      </c>
      <c r="B187" s="15">
        <v>0</v>
      </c>
      <c r="C187" s="15">
        <v>0</v>
      </c>
    </row>
    <row r="188" spans="1:3">
      <c r="A188" s="15">
        <v>1</v>
      </c>
      <c r="B188" s="15">
        <v>0</v>
      </c>
      <c r="C188" s="15">
        <v>0</v>
      </c>
    </row>
    <row r="189" spans="1:3">
      <c r="A189" s="15">
        <v>1</v>
      </c>
      <c r="B189" s="15">
        <v>0</v>
      </c>
      <c r="C189" s="15">
        <v>0</v>
      </c>
    </row>
    <row r="190" spans="1:3">
      <c r="A190" s="15">
        <v>0</v>
      </c>
      <c r="B190" s="15">
        <v>0</v>
      </c>
      <c r="C190" s="15">
        <v>0</v>
      </c>
    </row>
    <row r="191" spans="1:3">
      <c r="A191" s="15">
        <v>0</v>
      </c>
      <c r="B191" s="15">
        <v>0</v>
      </c>
      <c r="C191" s="15">
        <v>0</v>
      </c>
    </row>
    <row r="192" spans="1:3">
      <c r="A192" s="15">
        <v>0</v>
      </c>
      <c r="B192" s="15">
        <v>0</v>
      </c>
      <c r="C192" s="15">
        <v>0</v>
      </c>
    </row>
    <row r="193" spans="1:3">
      <c r="A193" s="15">
        <v>0</v>
      </c>
      <c r="B193" s="15">
        <v>0</v>
      </c>
      <c r="C193" s="15">
        <v>0</v>
      </c>
    </row>
    <row r="194" spans="1:3">
      <c r="A194" s="15">
        <v>0</v>
      </c>
      <c r="B194" s="15">
        <v>0</v>
      </c>
      <c r="C194" s="15">
        <v>1</v>
      </c>
    </row>
    <row r="195" spans="1:3">
      <c r="A195" s="15">
        <v>0</v>
      </c>
      <c r="B195" s="15">
        <v>0</v>
      </c>
      <c r="C195" s="15">
        <v>1</v>
      </c>
    </row>
    <row r="196" spans="1:3">
      <c r="A196" s="15">
        <v>0</v>
      </c>
      <c r="B196" s="15">
        <v>0</v>
      </c>
      <c r="C196" s="15">
        <v>1</v>
      </c>
    </row>
    <row r="197" spans="1:3">
      <c r="A197" s="15">
        <v>0</v>
      </c>
      <c r="B197" s="15">
        <v>0</v>
      </c>
      <c r="C197" s="15">
        <v>1</v>
      </c>
    </row>
    <row r="198" spans="1:3">
      <c r="A198" s="15">
        <v>1</v>
      </c>
      <c r="B198" s="15">
        <v>0</v>
      </c>
      <c r="C198" s="15">
        <v>0</v>
      </c>
    </row>
    <row r="199" spans="1:3">
      <c r="A199" s="15">
        <v>1</v>
      </c>
      <c r="B199" s="15">
        <v>0</v>
      </c>
      <c r="C199" s="15">
        <v>0</v>
      </c>
    </row>
    <row r="200" spans="1:3">
      <c r="A200" s="15">
        <v>1</v>
      </c>
      <c r="B200" s="15">
        <v>0</v>
      </c>
      <c r="C200" s="15">
        <v>0</v>
      </c>
    </row>
    <row r="201" spans="1:3">
      <c r="A201" s="15">
        <v>1</v>
      </c>
      <c r="B201" s="15">
        <v>0</v>
      </c>
      <c r="C201" s="15">
        <v>0</v>
      </c>
    </row>
    <row r="202" spans="1:3">
      <c r="A202" s="15">
        <v>0</v>
      </c>
      <c r="B202" s="15">
        <v>0</v>
      </c>
      <c r="C202" s="15">
        <v>0</v>
      </c>
    </row>
    <row r="203" spans="1:3">
      <c r="A203" s="15">
        <v>0</v>
      </c>
      <c r="B203" s="15">
        <v>0</v>
      </c>
      <c r="C203" s="15">
        <v>0</v>
      </c>
    </row>
    <row r="204" spans="1:3">
      <c r="A204" s="15">
        <v>0</v>
      </c>
      <c r="B204" s="15">
        <v>0</v>
      </c>
      <c r="C204" s="15">
        <v>0</v>
      </c>
    </row>
    <row r="205" spans="1:3">
      <c r="A205" s="15">
        <v>0</v>
      </c>
      <c r="B205" s="15">
        <v>0</v>
      </c>
      <c r="C205" s="15">
        <v>0</v>
      </c>
    </row>
    <row r="206" spans="1:3">
      <c r="A206" s="15">
        <v>0</v>
      </c>
      <c r="B206" s="15">
        <v>0</v>
      </c>
      <c r="C206" s="15">
        <v>0</v>
      </c>
    </row>
    <row r="207" spans="1:3">
      <c r="A207" s="15">
        <v>0</v>
      </c>
      <c r="B207" s="15">
        <v>0</v>
      </c>
      <c r="C207" s="15">
        <v>0</v>
      </c>
    </row>
    <row r="208" spans="1:3">
      <c r="A208" s="15">
        <v>0</v>
      </c>
      <c r="B208" s="15">
        <v>0</v>
      </c>
      <c r="C208" s="15">
        <v>0</v>
      </c>
    </row>
    <row r="209" spans="1:3">
      <c r="A209" s="15">
        <v>0</v>
      </c>
      <c r="B209" s="15">
        <v>0</v>
      </c>
      <c r="C209" s="15">
        <v>0</v>
      </c>
    </row>
    <row r="210" spans="1:3">
      <c r="A210" s="15">
        <v>0</v>
      </c>
      <c r="B210" s="15">
        <v>0</v>
      </c>
      <c r="C210" s="15">
        <v>0</v>
      </c>
    </row>
    <row r="211" spans="1:3">
      <c r="A211" s="15">
        <v>0</v>
      </c>
      <c r="B211" s="15">
        <v>0</v>
      </c>
      <c r="C211" s="15">
        <v>0</v>
      </c>
    </row>
    <row r="212" spans="1:3">
      <c r="A212" s="15">
        <v>0</v>
      </c>
      <c r="B212" s="15">
        <v>0</v>
      </c>
      <c r="C212" s="15">
        <v>0</v>
      </c>
    </row>
    <row r="213" spans="1:3">
      <c r="A213" s="15">
        <v>0</v>
      </c>
      <c r="B213" s="15">
        <v>0</v>
      </c>
      <c r="C213" s="15">
        <v>0</v>
      </c>
    </row>
    <row r="214" spans="1:3">
      <c r="A214" s="15">
        <v>0</v>
      </c>
      <c r="B214" s="15">
        <v>0</v>
      </c>
      <c r="C214" s="15">
        <v>1</v>
      </c>
    </row>
    <row r="215" spans="1:3">
      <c r="A215" s="15">
        <v>0</v>
      </c>
      <c r="B215" s="15">
        <v>0</v>
      </c>
      <c r="C215" s="15">
        <v>1</v>
      </c>
    </row>
    <row r="216" spans="1:3">
      <c r="A216" s="15">
        <v>0</v>
      </c>
      <c r="B216" s="15">
        <v>0</v>
      </c>
      <c r="C216" s="15">
        <v>1</v>
      </c>
    </row>
    <row r="217" spans="1:3">
      <c r="A217" s="15">
        <v>0</v>
      </c>
      <c r="B217" s="15">
        <v>0</v>
      </c>
      <c r="C217" s="15">
        <v>1</v>
      </c>
    </row>
    <row r="218" spans="1:3">
      <c r="A218" s="15">
        <v>1</v>
      </c>
      <c r="B218" s="15">
        <v>0</v>
      </c>
      <c r="C218" s="15">
        <v>0</v>
      </c>
    </row>
    <row r="219" spans="1:3">
      <c r="A219" s="15">
        <v>1</v>
      </c>
      <c r="B219" s="15">
        <v>0</v>
      </c>
      <c r="C219" s="15">
        <v>0</v>
      </c>
    </row>
    <row r="220" spans="1:3">
      <c r="A220" s="15">
        <v>1</v>
      </c>
      <c r="B220" s="15">
        <v>0</v>
      </c>
      <c r="C220" s="15">
        <v>0</v>
      </c>
    </row>
    <row r="221" spans="1:3">
      <c r="A221" s="15">
        <v>1</v>
      </c>
      <c r="B221" s="15">
        <v>0</v>
      </c>
      <c r="C221" s="15">
        <v>0</v>
      </c>
    </row>
    <row r="222" spans="1:3">
      <c r="A222" s="15">
        <v>0</v>
      </c>
      <c r="B222" s="15">
        <v>0</v>
      </c>
      <c r="C222" s="15">
        <v>0</v>
      </c>
    </row>
    <row r="223" spans="1:3">
      <c r="A223" s="15">
        <v>0</v>
      </c>
      <c r="B223" s="15">
        <v>0</v>
      </c>
      <c r="C223" s="15">
        <v>0</v>
      </c>
    </row>
    <row r="224" spans="1:3">
      <c r="A224" s="15">
        <v>0</v>
      </c>
      <c r="B224" s="15">
        <v>0</v>
      </c>
      <c r="C224" s="15">
        <v>0</v>
      </c>
    </row>
    <row r="225" spans="1:3">
      <c r="A225" s="15">
        <v>0</v>
      </c>
      <c r="B225" s="15">
        <v>0</v>
      </c>
      <c r="C225" s="15">
        <v>0</v>
      </c>
    </row>
    <row r="226" spans="1:3">
      <c r="A226" s="15">
        <v>0</v>
      </c>
      <c r="B226" s="15">
        <v>0</v>
      </c>
      <c r="C226" s="15">
        <v>0</v>
      </c>
    </row>
    <row r="227" spans="1:3">
      <c r="A227" s="15">
        <v>0</v>
      </c>
      <c r="B227" s="15">
        <v>0</v>
      </c>
      <c r="C227" s="15">
        <v>0</v>
      </c>
    </row>
    <row r="228" spans="1:3">
      <c r="A228" s="15">
        <v>0</v>
      </c>
      <c r="B228" s="15">
        <v>0</v>
      </c>
      <c r="C228" s="15">
        <v>0</v>
      </c>
    </row>
    <row r="229" spans="1:3">
      <c r="A229" s="15">
        <v>0</v>
      </c>
      <c r="B229" s="15">
        <v>0</v>
      </c>
      <c r="C229" s="15">
        <v>0</v>
      </c>
    </row>
    <row r="230" spans="1:3">
      <c r="A230" s="15">
        <v>0</v>
      </c>
      <c r="B230" s="15">
        <v>0</v>
      </c>
      <c r="C230" s="15">
        <v>0</v>
      </c>
    </row>
    <row r="231" spans="1:3">
      <c r="A231" s="15">
        <v>0</v>
      </c>
      <c r="B231" s="15">
        <v>0</v>
      </c>
      <c r="C231" s="15">
        <v>0</v>
      </c>
    </row>
    <row r="232" spans="1:3">
      <c r="A232" s="15">
        <v>0</v>
      </c>
      <c r="B232" s="15">
        <v>0</v>
      </c>
      <c r="C232" s="15">
        <v>0</v>
      </c>
    </row>
    <row r="233" spans="1:3">
      <c r="A233" s="15">
        <v>0</v>
      </c>
      <c r="B233" s="15">
        <v>0</v>
      </c>
      <c r="C233" s="15">
        <v>0</v>
      </c>
    </row>
    <row r="234" spans="1:3">
      <c r="A234" s="15">
        <v>0</v>
      </c>
      <c r="B234" s="15">
        <v>0</v>
      </c>
      <c r="C234" s="15">
        <v>1</v>
      </c>
    </row>
    <row r="235" spans="1:3">
      <c r="A235" s="15">
        <v>0</v>
      </c>
      <c r="B235" s="15">
        <v>0</v>
      </c>
      <c r="C235" s="15">
        <v>1</v>
      </c>
    </row>
    <row r="236" spans="1:3">
      <c r="A236" s="15">
        <v>0</v>
      </c>
      <c r="B236" s="15">
        <v>0</v>
      </c>
      <c r="C236" s="15">
        <v>1</v>
      </c>
    </row>
    <row r="237" spans="1:3">
      <c r="A237" s="15">
        <v>0</v>
      </c>
      <c r="B237" s="15">
        <v>0</v>
      </c>
      <c r="C237" s="15">
        <v>1</v>
      </c>
    </row>
    <row r="238" spans="1:3">
      <c r="A238" s="15">
        <v>0</v>
      </c>
      <c r="B238" s="15">
        <v>0</v>
      </c>
      <c r="C238" s="15">
        <v>1</v>
      </c>
    </row>
    <row r="239" spans="1:3">
      <c r="A239" s="15">
        <v>0</v>
      </c>
      <c r="B239" s="15">
        <v>0</v>
      </c>
      <c r="C239" s="15">
        <v>1</v>
      </c>
    </row>
    <row r="240" spans="1:3">
      <c r="A240" s="15">
        <v>0</v>
      </c>
      <c r="B240" s="15">
        <v>0</v>
      </c>
      <c r="C240" s="15">
        <v>1</v>
      </c>
    </row>
    <row r="241" spans="1:3">
      <c r="A241" s="15">
        <v>0</v>
      </c>
      <c r="B241" s="15">
        <v>0</v>
      </c>
      <c r="C241" s="15">
        <v>1</v>
      </c>
    </row>
    <row r="242" spans="1:3">
      <c r="A242" s="15">
        <v>0</v>
      </c>
      <c r="B242" s="15">
        <v>1</v>
      </c>
      <c r="C242" s="15">
        <v>0</v>
      </c>
    </row>
    <row r="243" spans="1:3">
      <c r="A243" s="15">
        <v>0</v>
      </c>
      <c r="B243" s="15">
        <v>1</v>
      </c>
      <c r="C243" s="15">
        <v>0</v>
      </c>
    </row>
    <row r="244" spans="1:3">
      <c r="A244" s="15">
        <v>0</v>
      </c>
      <c r="B244" s="15">
        <v>1</v>
      </c>
      <c r="C244" s="15">
        <v>0</v>
      </c>
    </row>
    <row r="245" spans="1:3">
      <c r="A245" s="15">
        <v>0</v>
      </c>
      <c r="B245" s="15">
        <v>1</v>
      </c>
      <c r="C245" s="15">
        <v>0</v>
      </c>
    </row>
    <row r="246" spans="1:3">
      <c r="A246" s="15">
        <v>0</v>
      </c>
      <c r="B246" s="15">
        <v>0</v>
      </c>
      <c r="C246" s="15">
        <v>0</v>
      </c>
    </row>
    <row r="247" spans="1:3">
      <c r="A247" s="15">
        <v>0</v>
      </c>
      <c r="B247" s="15">
        <v>0</v>
      </c>
      <c r="C247" s="15">
        <v>0</v>
      </c>
    </row>
    <row r="248" spans="1:3">
      <c r="A248" s="15">
        <v>0</v>
      </c>
      <c r="B248" s="15">
        <v>0</v>
      </c>
      <c r="C248" s="15">
        <v>0</v>
      </c>
    </row>
    <row r="249" spans="1:3">
      <c r="A249" s="15">
        <v>0</v>
      </c>
      <c r="B249" s="15">
        <v>0</v>
      </c>
      <c r="C249" s="15">
        <v>0</v>
      </c>
    </row>
    <row r="250" spans="1:3">
      <c r="A250" s="15">
        <v>1</v>
      </c>
      <c r="B250" s="15">
        <v>0</v>
      </c>
      <c r="C250" s="15">
        <v>0</v>
      </c>
    </row>
    <row r="251" spans="1:3">
      <c r="A251" s="15">
        <v>1</v>
      </c>
      <c r="B251" s="15">
        <v>0</v>
      </c>
      <c r="C251" s="15">
        <v>0</v>
      </c>
    </row>
    <row r="252" spans="1:3">
      <c r="A252" s="15">
        <v>1</v>
      </c>
      <c r="B252" s="15">
        <v>0</v>
      </c>
      <c r="C252" s="15">
        <v>0</v>
      </c>
    </row>
    <row r="253" spans="1:3">
      <c r="A253" s="15">
        <v>1</v>
      </c>
      <c r="B253" s="15">
        <v>0</v>
      </c>
      <c r="C253" s="15">
        <v>0</v>
      </c>
    </row>
    <row r="254" spans="1:3">
      <c r="A254" s="15">
        <v>0</v>
      </c>
      <c r="B254" s="15">
        <v>1</v>
      </c>
      <c r="C254" s="15">
        <v>0</v>
      </c>
    </row>
    <row r="255" spans="1:3">
      <c r="A255" s="15">
        <v>0</v>
      </c>
      <c r="B255" s="15">
        <v>1</v>
      </c>
      <c r="C255" s="15">
        <v>0</v>
      </c>
    </row>
    <row r="256" spans="1:3">
      <c r="A256" s="15">
        <v>0</v>
      </c>
      <c r="B256" s="15">
        <v>1</v>
      </c>
      <c r="C256" s="15">
        <v>0</v>
      </c>
    </row>
    <row r="257" spans="1:3">
      <c r="A257" s="15">
        <v>0</v>
      </c>
      <c r="B257" s="15">
        <v>1</v>
      </c>
      <c r="C257" s="15">
        <v>0</v>
      </c>
    </row>
    <row r="258" spans="1:3">
      <c r="A258" s="15">
        <v>0</v>
      </c>
      <c r="B258" s="15">
        <v>1</v>
      </c>
      <c r="C258" s="15">
        <v>0</v>
      </c>
    </row>
    <row r="259" spans="1:3">
      <c r="A259" s="15">
        <v>0</v>
      </c>
      <c r="B259" s="15">
        <v>1</v>
      </c>
      <c r="C259" s="15">
        <v>0</v>
      </c>
    </row>
    <row r="260" spans="1:3">
      <c r="A260" s="15">
        <v>0</v>
      </c>
      <c r="B260" s="15">
        <v>1</v>
      </c>
      <c r="C260" s="15">
        <v>0</v>
      </c>
    </row>
    <row r="261" spans="1:3">
      <c r="A261" s="15">
        <v>0</v>
      </c>
      <c r="B261" s="15">
        <v>1</v>
      </c>
      <c r="C261" s="15">
        <v>0</v>
      </c>
    </row>
    <row r="262" spans="1:3">
      <c r="A262" s="15">
        <v>0</v>
      </c>
      <c r="B262" s="15">
        <v>0</v>
      </c>
      <c r="C262" s="15">
        <v>1</v>
      </c>
    </row>
    <row r="263" spans="1:3">
      <c r="A263" s="15">
        <v>0</v>
      </c>
      <c r="B263" s="15">
        <v>0</v>
      </c>
      <c r="C263" s="15">
        <v>1</v>
      </c>
    </row>
    <row r="264" spans="1:3">
      <c r="A264" s="15">
        <v>0</v>
      </c>
      <c r="B264" s="15">
        <v>0</v>
      </c>
      <c r="C264" s="15">
        <v>1</v>
      </c>
    </row>
    <row r="265" spans="1:3">
      <c r="A265" s="15">
        <v>0</v>
      </c>
      <c r="B265" s="15">
        <v>0</v>
      </c>
      <c r="C265" s="15">
        <v>1</v>
      </c>
    </row>
    <row r="266" spans="1:3">
      <c r="A266" s="15">
        <v>0</v>
      </c>
      <c r="B266" s="15">
        <v>0</v>
      </c>
      <c r="C266" s="15">
        <v>0</v>
      </c>
    </row>
    <row r="267" spans="1:3">
      <c r="A267" s="15">
        <v>0</v>
      </c>
      <c r="B267" s="15">
        <v>0</v>
      </c>
      <c r="C267" s="15">
        <v>0</v>
      </c>
    </row>
    <row r="268" spans="1:3">
      <c r="A268" s="15">
        <v>0</v>
      </c>
      <c r="B268" s="15">
        <v>0</v>
      </c>
      <c r="C268" s="15">
        <v>0</v>
      </c>
    </row>
    <row r="269" spans="1:3">
      <c r="A269" s="15">
        <v>0</v>
      </c>
      <c r="B269" s="15">
        <v>0</v>
      </c>
      <c r="C269" s="15">
        <v>0</v>
      </c>
    </row>
    <row r="270" spans="1:3">
      <c r="A270" s="15">
        <v>0</v>
      </c>
      <c r="B270" s="15">
        <v>0</v>
      </c>
      <c r="C270" s="15">
        <v>0</v>
      </c>
    </row>
    <row r="271" spans="1:3">
      <c r="A271" s="15">
        <v>0</v>
      </c>
      <c r="B271" s="15">
        <v>0</v>
      </c>
      <c r="C271" s="15">
        <v>0</v>
      </c>
    </row>
    <row r="272" spans="1:3">
      <c r="A272" s="15">
        <v>0</v>
      </c>
      <c r="B272" s="15">
        <v>0</v>
      </c>
      <c r="C272" s="15">
        <v>0</v>
      </c>
    </row>
    <row r="273" spans="1:3">
      <c r="A273" s="15">
        <v>0</v>
      </c>
      <c r="B273" s="15">
        <v>0</v>
      </c>
      <c r="C273" s="15">
        <v>0</v>
      </c>
    </row>
    <row r="274" spans="1:3">
      <c r="A274" s="15">
        <v>0</v>
      </c>
      <c r="B274" s="15">
        <v>0</v>
      </c>
      <c r="C274" s="15">
        <v>1</v>
      </c>
    </row>
    <row r="275" spans="1:3">
      <c r="A275" s="15">
        <v>0</v>
      </c>
      <c r="B275" s="15">
        <v>0</v>
      </c>
      <c r="C275" s="15">
        <v>1</v>
      </c>
    </row>
    <row r="276" spans="1:3">
      <c r="A276" s="15">
        <v>0</v>
      </c>
      <c r="B276" s="15">
        <v>0</v>
      </c>
      <c r="C276" s="15">
        <v>1</v>
      </c>
    </row>
    <row r="277" spans="1:3">
      <c r="A277" s="15">
        <v>0</v>
      </c>
      <c r="B277" s="15">
        <v>0</v>
      </c>
      <c r="C277" s="15">
        <v>1</v>
      </c>
    </row>
    <row r="278" spans="1:3">
      <c r="A278" s="15">
        <v>0</v>
      </c>
      <c r="B278" s="15">
        <v>1</v>
      </c>
      <c r="C278" s="15">
        <v>0</v>
      </c>
    </row>
    <row r="279" spans="1:3">
      <c r="A279" s="15">
        <v>0</v>
      </c>
      <c r="B279" s="15">
        <v>1</v>
      </c>
      <c r="C279" s="15">
        <v>0</v>
      </c>
    </row>
    <row r="280" spans="1:3">
      <c r="A280" s="15">
        <v>0</v>
      </c>
      <c r="B280" s="15">
        <v>1</v>
      </c>
      <c r="C280" s="15">
        <v>0</v>
      </c>
    </row>
    <row r="281" spans="1:3">
      <c r="A281" s="15">
        <v>0</v>
      </c>
      <c r="B281" s="15">
        <v>1</v>
      </c>
      <c r="C281" s="15">
        <v>0</v>
      </c>
    </row>
    <row r="282" spans="1:3">
      <c r="A282" s="15">
        <v>0</v>
      </c>
      <c r="B282" s="15">
        <v>1</v>
      </c>
      <c r="C282" s="15">
        <v>0</v>
      </c>
    </row>
    <row r="283" spans="1:3">
      <c r="A283" s="15">
        <v>0</v>
      </c>
      <c r="B283" s="15">
        <v>1</v>
      </c>
      <c r="C283" s="15">
        <v>0</v>
      </c>
    </row>
    <row r="284" spans="1:3">
      <c r="A284" s="15">
        <v>0</v>
      </c>
      <c r="B284" s="15">
        <v>1</v>
      </c>
      <c r="C284" s="15">
        <v>0</v>
      </c>
    </row>
    <row r="285" spans="1:3">
      <c r="A285" s="15">
        <v>0</v>
      </c>
      <c r="B285" s="15">
        <v>1</v>
      </c>
      <c r="C285" s="15">
        <v>0</v>
      </c>
    </row>
    <row r="286" spans="1:3">
      <c r="A286" s="15">
        <v>0</v>
      </c>
      <c r="B286" s="15">
        <v>0</v>
      </c>
      <c r="C286" s="15">
        <v>1</v>
      </c>
    </row>
    <row r="287" spans="1:3">
      <c r="A287" s="15">
        <v>0</v>
      </c>
      <c r="B287" s="15">
        <v>0</v>
      </c>
      <c r="C287" s="15">
        <v>1</v>
      </c>
    </row>
    <row r="288" spans="1:3">
      <c r="A288" s="15">
        <v>0</v>
      </c>
      <c r="B288" s="15">
        <v>0</v>
      </c>
      <c r="C288" s="15">
        <v>1</v>
      </c>
    </row>
    <row r="289" spans="1:3">
      <c r="A289" s="15">
        <v>0</v>
      </c>
      <c r="B289" s="15">
        <v>0</v>
      </c>
      <c r="C289" s="15">
        <v>1</v>
      </c>
    </row>
    <row r="290" spans="1:3">
      <c r="A290" s="15">
        <v>0</v>
      </c>
      <c r="B290" s="15">
        <v>0</v>
      </c>
      <c r="C290" s="15">
        <v>0</v>
      </c>
    </row>
    <row r="291" spans="1:3">
      <c r="A291" s="15">
        <v>0</v>
      </c>
      <c r="B291" s="15">
        <v>0</v>
      </c>
      <c r="C291" s="15">
        <v>0</v>
      </c>
    </row>
    <row r="292" spans="1:3">
      <c r="A292" s="15">
        <v>0</v>
      </c>
      <c r="B292" s="15">
        <v>0</v>
      </c>
      <c r="C292" s="15">
        <v>0</v>
      </c>
    </row>
    <row r="293" spans="1:3">
      <c r="A293" s="15">
        <v>0</v>
      </c>
      <c r="B293" s="15">
        <v>0</v>
      </c>
      <c r="C293" s="15">
        <v>0</v>
      </c>
    </row>
    <row r="294" spans="1:3">
      <c r="A294" s="15">
        <v>0</v>
      </c>
      <c r="B294" s="15">
        <v>0</v>
      </c>
      <c r="C294" s="15">
        <v>1</v>
      </c>
    </row>
    <row r="295" spans="1:3">
      <c r="A295" s="15">
        <v>0</v>
      </c>
      <c r="B295" s="15">
        <v>0</v>
      </c>
      <c r="C295" s="15">
        <v>1</v>
      </c>
    </row>
    <row r="296" spans="1:3">
      <c r="A296" s="15">
        <v>0</v>
      </c>
      <c r="B296" s="15">
        <v>0</v>
      </c>
      <c r="C296" s="15">
        <v>1</v>
      </c>
    </row>
    <row r="297" spans="1:3">
      <c r="A297" s="15">
        <v>0</v>
      </c>
      <c r="B297" s="15">
        <v>0</v>
      </c>
      <c r="C297" s="15">
        <v>1</v>
      </c>
    </row>
    <row r="298" spans="1:3">
      <c r="A298" s="15">
        <v>0</v>
      </c>
      <c r="B298" s="15">
        <v>0</v>
      </c>
      <c r="C298" s="15">
        <v>1</v>
      </c>
    </row>
    <row r="299" spans="1:3">
      <c r="A299" s="15">
        <v>0</v>
      </c>
      <c r="B299" s="15">
        <v>0</v>
      </c>
      <c r="C299" s="15">
        <v>1</v>
      </c>
    </row>
    <row r="300" spans="1:3">
      <c r="A300" s="15">
        <v>0</v>
      </c>
      <c r="B300" s="15">
        <v>0</v>
      </c>
      <c r="C300" s="15">
        <v>1</v>
      </c>
    </row>
    <row r="301" spans="1:3">
      <c r="A301" s="15">
        <v>0</v>
      </c>
      <c r="B301" s="15">
        <v>0</v>
      </c>
      <c r="C301" s="15">
        <v>1</v>
      </c>
    </row>
    <row r="302" spans="1:3">
      <c r="A302" s="15">
        <v>1</v>
      </c>
      <c r="B302" s="15">
        <v>0</v>
      </c>
      <c r="C302" s="15">
        <v>0</v>
      </c>
    </row>
    <row r="303" spans="1:3">
      <c r="A303" s="15">
        <v>1</v>
      </c>
      <c r="B303" s="15">
        <v>0</v>
      </c>
      <c r="C303" s="15">
        <v>0</v>
      </c>
    </row>
    <row r="304" spans="1:3">
      <c r="A304" s="15">
        <v>1</v>
      </c>
      <c r="B304" s="15">
        <v>0</v>
      </c>
      <c r="C304" s="15">
        <v>0</v>
      </c>
    </row>
    <row r="305" spans="1:3">
      <c r="A305" s="15">
        <v>1</v>
      </c>
      <c r="B305" s="15">
        <v>0</v>
      </c>
      <c r="C305" s="15">
        <v>0</v>
      </c>
    </row>
    <row r="306" spans="1:3">
      <c r="A306" s="15">
        <v>0</v>
      </c>
      <c r="B306" s="15">
        <v>1</v>
      </c>
      <c r="C306" s="15">
        <v>0</v>
      </c>
    </row>
    <row r="307" spans="1:3">
      <c r="A307" s="15">
        <v>0</v>
      </c>
      <c r="B307" s="15">
        <v>1</v>
      </c>
      <c r="C307" s="15">
        <v>0</v>
      </c>
    </row>
    <row r="308" spans="1:3">
      <c r="A308" s="15">
        <v>0</v>
      </c>
      <c r="B308" s="15">
        <v>1</v>
      </c>
      <c r="C308" s="15">
        <v>0</v>
      </c>
    </row>
    <row r="309" spans="1:3">
      <c r="A309" s="15">
        <v>0</v>
      </c>
      <c r="B309" s="15">
        <v>1</v>
      </c>
      <c r="C309" s="15">
        <v>0</v>
      </c>
    </row>
    <row r="310" spans="1:3">
      <c r="A310" s="15">
        <v>0</v>
      </c>
      <c r="B310" s="15">
        <v>1</v>
      </c>
      <c r="C310" s="15">
        <v>0</v>
      </c>
    </row>
    <row r="311" spans="1:3">
      <c r="A311" s="15">
        <v>0</v>
      </c>
      <c r="B311" s="15">
        <v>1</v>
      </c>
      <c r="C311" s="15">
        <v>0</v>
      </c>
    </row>
    <row r="312" spans="1:3">
      <c r="A312" s="15">
        <v>0</v>
      </c>
      <c r="B312" s="15">
        <v>1</v>
      </c>
      <c r="C312" s="15">
        <v>0</v>
      </c>
    </row>
    <row r="313" spans="1:3">
      <c r="A313" s="15">
        <v>0</v>
      </c>
      <c r="B313" s="15">
        <v>1</v>
      </c>
      <c r="C313" s="15">
        <v>0</v>
      </c>
    </row>
    <row r="314" spans="1:3">
      <c r="A314" s="15">
        <v>1</v>
      </c>
      <c r="B314" s="15">
        <v>0</v>
      </c>
      <c r="C314" s="15">
        <v>0</v>
      </c>
    </row>
    <row r="315" spans="1:3">
      <c r="A315" s="15">
        <v>1</v>
      </c>
      <c r="B315" s="15">
        <v>0</v>
      </c>
      <c r="C315" s="15">
        <v>0</v>
      </c>
    </row>
    <row r="316" spans="1:3">
      <c r="A316" s="15">
        <v>1</v>
      </c>
      <c r="B316" s="15">
        <v>0</v>
      </c>
      <c r="C316" s="15">
        <v>0</v>
      </c>
    </row>
    <row r="317" spans="1:3">
      <c r="A317" s="15">
        <v>1</v>
      </c>
      <c r="B317" s="15">
        <v>0</v>
      </c>
      <c r="C317" s="15">
        <v>0</v>
      </c>
    </row>
    <row r="318" spans="1:3">
      <c r="A318" s="15">
        <v>0</v>
      </c>
      <c r="B318" s="15">
        <v>0</v>
      </c>
      <c r="C318" s="15">
        <v>0</v>
      </c>
    </row>
    <row r="319" spans="1:3">
      <c r="A319" s="15">
        <v>0</v>
      </c>
      <c r="B319" s="15">
        <v>0</v>
      </c>
      <c r="C319" s="15">
        <v>0</v>
      </c>
    </row>
    <row r="320" spans="1:3">
      <c r="A320" s="15">
        <v>0</v>
      </c>
      <c r="B320" s="15">
        <v>0</v>
      </c>
      <c r="C320" s="15">
        <v>0</v>
      </c>
    </row>
    <row r="321" spans="1:3">
      <c r="A321" s="15">
        <v>0</v>
      </c>
      <c r="B321" s="15">
        <v>0</v>
      </c>
      <c r="C321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store_performance</vt:lpstr>
      <vt:lpstr>data_dictionary</vt:lpstr>
      <vt:lpstr>cleaned data</vt:lpstr>
      <vt:lpstr>simple regresion 1</vt:lpstr>
      <vt:lpstr>simple regresion 2</vt:lpstr>
      <vt:lpstr>multiple regresion</vt:lpstr>
      <vt:lpstr>predition sheet</vt:lpstr>
      <vt:lpstr>model comparison sheet</vt:lpstr>
      <vt:lpstr>dummy variable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bhoirpranav831@gmail.com</cp:lastModifiedBy>
  <dcterms:created xsi:type="dcterms:W3CDTF">2026-06-25T17:10:28Z</dcterms:created>
  <dcterms:modified xsi:type="dcterms:W3CDTF">2026-06-26T14:30:09Z</dcterms:modified>
</cp:coreProperties>
</file>